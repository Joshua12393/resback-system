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Back Gantt" sheetId="1" r:id="rId5"/>
  </sheets>
  <definedNames/>
  <calcPr/>
</workbook>
</file>

<file path=xl/sharedStrings.xml><?xml version="1.0" encoding="utf-8"?>
<sst xmlns="http://schemas.openxmlformats.org/spreadsheetml/2006/main" count="194" uniqueCount="117">
  <si>
    <t>GANTT CHART FOR THE PROJECT</t>
  </si>
  <si>
    <t>Project:</t>
  </si>
  <si>
    <t>Development of a Web-Based Anonymous Feedback System for CCIS Students Using Sentiment Analysis and Algorithmic Concern Ranking</t>
  </si>
  <si>
    <t>Project Team:</t>
  </si>
  <si>
    <t>Team Mira</t>
  </si>
  <si>
    <t>Methodology:</t>
  </si>
  <si>
    <t>Agile Data Science 2.0</t>
  </si>
  <si>
    <t>PHASES</t>
  </si>
  <si>
    <t>TASKS (ACTIVITIES)</t>
  </si>
  <si>
    <t>RESPONSIBLE</t>
  </si>
  <si>
    <t>START DATE</t>
  </si>
  <si>
    <t>END DATE</t>
  </si>
  <si>
    <t>PROGRESS</t>
  </si>
  <si>
    <t>DELIVERABLE</t>
  </si>
  <si>
    <t>Preparation</t>
  </si>
  <si>
    <t>Review literature on sentiment analysis and concern ranking</t>
  </si>
  <si>
    <t>Team Lead (Viloria)</t>
  </si>
  <si>
    <t>For confirmation</t>
  </si>
  <si>
    <t>Literature review</t>
  </si>
  <si>
    <t>Study existing anonymous feedback systems</t>
  </si>
  <si>
    <t>All Members</t>
  </si>
  <si>
    <t>Comparative analysis</t>
  </si>
  <si>
    <t>Assess pretrained sentiment models and API options</t>
  </si>
  <si>
    <t>Lead Dev (Queypo)</t>
  </si>
  <si>
    <t>Technology assessment</t>
  </si>
  <si>
    <t>Research concern-ranking methods</t>
  </si>
  <si>
    <t>Ranking-method review</t>
  </si>
  <si>
    <t>Prepare data-gathering instruments</t>
  </si>
  <si>
    <t>Doc Lead (Orenza)</t>
  </si>
  <si>
    <t>Survey and interview instruments</t>
  </si>
  <si>
    <t>Conduct interviews and surveys</t>
  </si>
  <si>
    <t>Survey and interview results</t>
  </si>
  <si>
    <t>Identify functional and non-functional requirements</t>
  </si>
  <si>
    <t>Team Lead &amp; Doc Lead</t>
  </si>
  <si>
    <t>Software requirements</t>
  </si>
  <si>
    <t>Analyze problems and stakeholder needs</t>
  </si>
  <si>
    <t>Problem statement</t>
  </si>
  <si>
    <t>Prioritize requirements and analytical deliverables</t>
  </si>
  <si>
    <t>Team Lead &amp; Developers</t>
  </si>
  <si>
    <t>Prioritized development tasks</t>
  </si>
  <si>
    <t>Define iteration goals and evaluation criteria</t>
  </si>
  <si>
    <t>Iteration goals and criteria</t>
  </si>
  <si>
    <t>Design system architecture</t>
  </si>
  <si>
    <t>Architecture diagram</t>
  </si>
  <si>
    <t>Create interface wireframes</t>
  </si>
  <si>
    <t>UI/UX Dev (Queypo)</t>
  </si>
  <si>
    <t>Interface wireframes</t>
  </si>
  <si>
    <t>Set up the development environment</t>
  </si>
  <si>
    <t>Development environment</t>
  </si>
  <si>
    <t>Develop the interface prototype</t>
  </si>
  <si>
    <t>Interface prototype</t>
  </si>
  <si>
    <t>Records</t>
  </si>
  <si>
    <t>Design the feedback and analysis database schema</t>
  </si>
  <si>
    <t>Database schema</t>
  </si>
  <si>
    <t>Set up the database and backend</t>
  </si>
  <si>
    <t>Database and backend</t>
  </si>
  <si>
    <t>Implement authentication and role permissions</t>
  </si>
  <si>
    <t>Authentication and access rules</t>
  </si>
  <si>
    <t>Develop feedback submission and input screening</t>
  </si>
  <si>
    <t>Validated feedback submission</t>
  </si>
  <si>
    <t>Implement anonymous feedback presentation</t>
  </si>
  <si>
    <t>Submitter identity protection</t>
  </si>
  <si>
    <t>Store feedback and analysis status records</t>
  </si>
  <si>
    <t>Feedback and analysis records</t>
  </si>
  <si>
    <t>Develop the feedback submission interface</t>
  </si>
  <si>
    <t>Feedback interface</t>
  </si>
  <si>
    <t>Configure Gemma through the Gemini API</t>
  </si>
  <si>
    <t>Model and API configuration</t>
  </si>
  <si>
    <t>Validate text and normalize duplicate checks</t>
  </si>
  <si>
    <t>Input and duplicate validation</t>
  </si>
  <si>
    <t>Integrate sentiment, topic and language analysis</t>
  </si>
  <si>
    <t>Validated analysis outputs</t>
  </si>
  <si>
    <t>Charts</t>
  </si>
  <si>
    <t>Display sentiment and analysis results</t>
  </si>
  <si>
    <t>Sentiment result views</t>
  </si>
  <si>
    <t>Build dashboard charts and verify filtered totals</t>
  </si>
  <si>
    <t>Sentiment, language and trend charts</t>
  </si>
  <si>
    <t>Reports</t>
  </si>
  <si>
    <t>Develop feedback reports and shared filters</t>
  </si>
  <si>
    <t>Filtered feedback reports</t>
  </si>
  <si>
    <t>Export reports to PDF and Excel</t>
  </si>
  <si>
    <t>PDF and XLSX exports</t>
  </si>
  <si>
    <t>Recommendations</t>
  </si>
  <si>
    <t>Design weighted concern-ranking rules</t>
  </si>
  <si>
    <t>Volume, sentiment, confidence and recency rules</t>
  </si>
  <si>
    <t>Implement topic grouping and weighted ranking</t>
  </si>
  <si>
    <t>Concern-ranking implementation</t>
  </si>
  <si>
    <t>Validate ranking weights and low-evidence indicators</t>
  </si>
  <si>
    <t>Controlled ranking test results</t>
  </si>
  <si>
    <t>Display ranked concerns with supporting examples</t>
  </si>
  <si>
    <t>Ranked concerns and evidence</t>
  </si>
  <si>
    <t>Actions</t>
  </si>
  <si>
    <t>Conduct user acceptance testing and stakeholder review</t>
  </si>
  <si>
    <t>QA Tester (Viloria)</t>
  </si>
  <si>
    <t>UAT results and review findings</t>
  </si>
  <si>
    <t>Refine data, prompts and interfaces from review findings</t>
  </si>
  <si>
    <t>Refined system</t>
  </si>
  <si>
    <t>Testing and iteration</t>
  </si>
  <si>
    <t>Review results and iterate across the five data-value stages</t>
  </si>
  <si>
    <t>Iteration review log</t>
  </si>
  <si>
    <t>Evaluate initial sentiment outputs against human labels</t>
  </si>
  <si>
    <t>Initial sentiment evaluation</t>
  </si>
  <si>
    <t>Run unit tests and fix defects</t>
  </si>
  <si>
    <t>Unit test results and fixes</t>
  </si>
  <si>
    <t>Test the integrated feedback-to-report workflow</t>
  </si>
  <si>
    <t>Integration and system test report</t>
  </si>
  <si>
    <t>Evaluate sentiment performance against human labels</t>
  </si>
  <si>
    <t>Accuracy, precision, recall and F1 results</t>
  </si>
  <si>
    <t>Documentation and delivery</t>
  </si>
  <si>
    <t>Configure and verify local and online deployment</t>
  </si>
  <si>
    <t>Local and online deployment checks</t>
  </si>
  <si>
    <t>Prepare presentation materials</t>
  </si>
  <si>
    <t>Presentation deck</t>
  </si>
  <si>
    <t>Complete technical documentation and diagrams</t>
  </si>
  <si>
    <t>Technical documentation</t>
  </si>
  <si>
    <t>Conduct the internal presentation rehearsal</t>
  </si>
  <si>
    <t>Presentation rehearsal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</si>
</sst>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W&quot;0"/>
    <numFmt numFmtId="165" formatCode="General"/>
    <numFmt numFmtId="166" formatCode="mmm d"/>
    <numFmt numFmtId="167" formatCode=";;;"/>
  </numFmts>
  <fonts count="10">
    <font>
      <sz val="11.0"/>
      <color rgb="FF000000"/>
      <name val="Carlito"/>
      <scheme val="minor"/>
    </font>
    <font>
      <b/>
      <sz val="11.0"/>
      <color rgb="FF000000"/>
      <name val="Calibri"/>
    </font>
    <font>
      <color theme="1"/>
      <name val="Carlito"/>
      <scheme val="minor"/>
    </font>
    <font>
      <sz val="11.0"/>
      <color rgb="FF000000"/>
      <name val="Calibri"/>
    </font>
    <font/>
    <font>
      <b/>
      <sz val="11.0"/>
      <color rgb="FFFF0000"/>
      <name val="Calibri"/>
    </font>
    <font>
      <b/>
      <sz val="10.0"/>
      <color rgb="FF000000"/>
      <name val="Arial"/>
    </font>
    <font>
      <sz val="11.0"/>
      <color rgb="FF000000"/>
      <name val="Arial"/>
    </font>
    <font>
      <sz val="10.0"/>
      <color rgb="FF000000"/>
      <name val="Arial"/>
    </font>
    <font>
      <sz val="11.0"/>
      <color rgb="FF1B2B34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19">
    <border/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ill="1" applyFont="1"/>
    <xf borderId="1" fillId="2" fontId="3" numFmtId="0" xfId="0" applyAlignment="1" applyBorder="1" applyFill="1" applyFont="1">
      <alignment horizontal="right"/>
    </xf>
    <xf borderId="2" fillId="2" fontId="3" numFmtId="0" xfId="0" applyAlignment="1" applyBorder="1" applyFill="1" applyFont="1">
      <alignment horizontal="left"/>
    </xf>
    <xf borderId="2" fillId="0" fontId="4" numFmtId="0" xfId="0" applyBorder="1" applyFont="1"/>
    <xf borderId="3" fillId="0" fontId="4" numFmtId="0" xfId="0" applyBorder="1" applyFont="1"/>
    <xf borderId="4" fillId="2" fontId="3" numFmtId="0" xfId="0" applyAlignment="1" applyBorder="1" applyFill="1" applyFont="1">
      <alignment horizontal="right"/>
    </xf>
    <xf borderId="5" fillId="2" fontId="3" numFmtId="0" xfId="0" applyAlignment="1" applyBorder="1" applyFill="1" applyFont="1">
      <alignment horizontal="left"/>
    </xf>
    <xf borderId="5" fillId="0" fontId="4" numFmtId="0" xfId="0" applyBorder="1" applyFont="1"/>
    <xf borderId="6" fillId="0" fontId="4" numFmtId="0" xfId="0" applyBorder="1" applyFont="1"/>
    <xf borderId="7" fillId="2" fontId="3" numFmtId="0" xfId="0" applyAlignment="1" applyBorder="1" applyFill="1" applyFont="1">
      <alignment horizontal="right"/>
    </xf>
    <xf borderId="8" fillId="2" fontId="3" numFmtId="0" xfId="0" applyAlignment="1" applyBorder="1" applyFill="1" applyFont="1">
      <alignment horizontal="left"/>
    </xf>
    <xf borderId="8" fillId="0" fontId="4" numFmtId="0" xfId="0" applyBorder="1" applyFont="1"/>
    <xf borderId="9" fillId="0" fontId="4" numFmtId="0" xfId="0" applyBorder="1" applyFont="1"/>
    <xf borderId="10" fillId="2" fontId="1" numFmtId="0" xfId="0" applyAlignment="1" applyBorder="1" applyFill="1" applyFont="1">
      <alignment horizontal="center" shrinkToFit="0" vertical="bottom" wrapText="0"/>
    </xf>
    <xf borderId="11" fillId="2" fontId="1" numFmtId="0" xfId="0" applyAlignment="1" applyBorder="1" applyFill="1" applyFont="1">
      <alignment horizontal="center" shrinkToFit="0" vertical="bottom" wrapText="0"/>
    </xf>
    <xf borderId="11" fillId="3" fontId="5" numFmtId="164" xfId="0" applyAlignment="1" applyBorder="1" applyFill="1" applyFont="1" applyNumberFormat="1">
      <alignment horizontal="center" shrinkToFit="0" vertical="bottom" wrapText="0"/>
    </xf>
    <xf borderId="11" fillId="4" fontId="5" numFmtId="164" xfId="0" applyAlignment="1" applyBorder="1" applyFill="1" applyFont="1" applyNumberFormat="1">
      <alignment horizontal="center" shrinkToFit="0" vertical="bottom" wrapText="0"/>
    </xf>
    <xf borderId="12" fillId="4" fontId="5" numFmtId="0" xfId="0" applyAlignment="1" applyBorder="1" applyFill="1" applyFont="1">
      <alignment horizontal="center" shrinkToFit="0" vertical="bottom" wrapText="0"/>
    </xf>
    <xf borderId="13" fillId="2" fontId="6" numFmtId="165" xfId="0" applyAlignment="1" applyBorder="1" applyFill="1" applyFont="1" applyNumberFormat="1">
      <alignment horizontal="left" shrinkToFit="0" vertical="bottom" wrapText="0"/>
    </xf>
    <xf borderId="14" fillId="2" fontId="7" numFmtId="165" xfId="0" applyAlignment="1" applyBorder="1" applyFill="1" applyFont="1" applyNumberFormat="1">
      <alignment horizontal="left" shrinkToFit="0" vertical="bottom" wrapText="0"/>
    </xf>
    <xf borderId="14" fillId="2" fontId="3" numFmtId="165" xfId="0" applyAlignment="1" applyBorder="1" applyFill="1" applyFont="1" applyNumberFormat="1">
      <alignment horizontal="center" shrinkToFit="0" vertical="bottom" wrapText="0"/>
    </xf>
    <xf borderId="14" fillId="2" fontId="3" numFmtId="166" xfId="0" applyAlignment="1" applyBorder="1" applyFill="1" applyFont="1" applyNumberFormat="1">
      <alignment horizontal="center" shrinkToFit="0" vertical="bottom" wrapText="0"/>
    </xf>
    <xf borderId="14" fillId="2" fontId="3" numFmtId="167" xfId="0" applyAlignment="1" applyBorder="1" applyFill="1" applyFont="1" applyNumberFormat="1">
      <alignment horizontal="center" shrinkToFit="0" vertical="bottom" wrapText="0"/>
    </xf>
    <xf borderId="15" fillId="2" fontId="3" numFmtId="165" xfId="0" applyAlignment="1" applyBorder="1" applyFill="1" applyFont="1" applyNumberFormat="1">
      <alignment horizontal="left" shrinkToFit="0" vertical="bottom" wrapText="0"/>
    </xf>
    <xf borderId="13" fillId="2" fontId="8" numFmtId="165" xfId="0" applyAlignment="1" applyBorder="1" applyFill="1" applyFont="1" applyNumberFormat="1">
      <alignment horizontal="left" shrinkToFit="0" vertical="bottom" wrapText="0"/>
    </xf>
    <xf borderId="14" fillId="5" fontId="3" numFmtId="165" xfId="0" applyAlignment="1" applyBorder="1" applyFill="1" applyFont="1" applyNumberFormat="1">
      <alignment horizontal="center" readingOrder="0" shrinkToFit="0" vertical="bottom" wrapText="0"/>
    </xf>
    <xf borderId="13" fillId="2" fontId="2" numFmtId="0" xfId="0" applyBorder="1" applyFill="1" applyFont="1"/>
    <xf borderId="14" fillId="2" fontId="2" numFmtId="0" xfId="0" applyBorder="1" applyFill="1" applyFont="1"/>
    <xf borderId="15" fillId="2" fontId="2" numFmtId="0" xfId="0" applyBorder="1" applyFill="1" applyFont="1"/>
    <xf borderId="16" fillId="2" fontId="8" numFmtId="165" xfId="0" applyAlignment="1" applyBorder="1" applyFill="1" applyFont="1" applyNumberFormat="1">
      <alignment horizontal="left" shrinkToFit="0" vertical="bottom" wrapText="0"/>
    </xf>
    <xf borderId="17" fillId="2" fontId="7" numFmtId="165" xfId="0" applyAlignment="1" applyBorder="1" applyFill="1" applyFont="1" applyNumberFormat="1">
      <alignment horizontal="left" shrinkToFit="0" vertical="bottom" wrapText="0"/>
    </xf>
    <xf borderId="17" fillId="2" fontId="3" numFmtId="165" xfId="0" applyAlignment="1" applyBorder="1" applyFill="1" applyFont="1" applyNumberFormat="1">
      <alignment horizontal="center" shrinkToFit="0" vertical="bottom" wrapText="0"/>
    </xf>
    <xf borderId="17" fillId="2" fontId="3" numFmtId="166" xfId="0" applyAlignment="1" applyBorder="1" applyFill="1" applyFont="1" applyNumberFormat="1">
      <alignment horizontal="center" shrinkToFit="0" vertical="bottom" wrapText="0"/>
    </xf>
    <xf borderId="17" fillId="2" fontId="3" numFmtId="167" xfId="0" applyAlignment="1" applyBorder="1" applyFill="1" applyFont="1" applyNumberFormat="1">
      <alignment horizontal="center" shrinkToFit="0" vertical="bottom" wrapText="0"/>
    </xf>
    <xf borderId="18" fillId="2" fontId="3" numFmtId="165" xfId="0" applyAlignment="1" applyBorder="1" applyFill="1" applyFont="1" applyNumberFormat="1">
      <alignment horizontal="left" shrinkToFit="0" vertical="bottom" wrapText="0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2"/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26.88"/>
    <col customWidth="1" min="3" max="3" width="66.75"/>
    <col customWidth="1" min="4" max="4" width="28.75"/>
    <col customWidth="1" min="5" max="5" width="10.13"/>
    <col customWidth="1" min="6" max="6" width="11.25"/>
    <col customWidth="1" min="7" max="7" width="16.38"/>
    <col customWidth="1" min="8" max="20" width="5.25"/>
    <col customWidth="1" min="21" max="21" width="44.13"/>
    <col customWidth="1" min="22" max="26" width="8.63"/>
  </cols>
  <sheetData>
    <row r="1" ht="14.25" customHeight="1"/>
    <row r="2" ht="14.2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14.25" customHeight="1">
      <c r="B3" s="3" t="s">
        <v>1</v>
      </c>
      <c r="C3" s="4" t="s">
        <v>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  <c r="U3" s="2"/>
    </row>
    <row r="4" ht="14.25" customHeight="1">
      <c r="B4" s="7" t="s">
        <v>3</v>
      </c>
      <c r="C4" s="8" t="s">
        <v>4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2"/>
    </row>
    <row r="5" ht="14.25" customHeight="1">
      <c r="B5" s="11" t="s">
        <v>5</v>
      </c>
      <c r="C5" s="12" t="s">
        <v>6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4"/>
      <c r="U5" s="2"/>
    </row>
    <row r="6" ht="14.25" customHeight="1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14.25" customHeight="1">
      <c r="B7" s="15" t="s">
        <v>7</v>
      </c>
      <c r="C7" s="16" t="s">
        <v>8</v>
      </c>
      <c r="D7" s="16" t="s">
        <v>9</v>
      </c>
      <c r="E7" s="16" t="s">
        <v>10</v>
      </c>
      <c r="F7" s="16" t="s">
        <v>11</v>
      </c>
      <c r="G7" s="16" t="s">
        <v>12</v>
      </c>
      <c r="H7" s="17">
        <v>1.0</v>
      </c>
      <c r="I7" s="17">
        <v>2.0</v>
      </c>
      <c r="J7" s="17">
        <v>3.0</v>
      </c>
      <c r="K7" s="17">
        <v>4.0</v>
      </c>
      <c r="L7" s="17">
        <v>5.0</v>
      </c>
      <c r="M7" s="17">
        <v>6.0</v>
      </c>
      <c r="N7" s="17">
        <v>7.0</v>
      </c>
      <c r="O7" s="17">
        <v>8.0</v>
      </c>
      <c r="P7" s="18">
        <v>9.0</v>
      </c>
      <c r="Q7" s="18">
        <v>10.0</v>
      </c>
      <c r="R7" s="18">
        <v>11.0</v>
      </c>
      <c r="S7" s="18">
        <v>12.0</v>
      </c>
      <c r="T7" s="18">
        <v>13.0</v>
      </c>
      <c r="U7" s="19" t="s">
        <v>13</v>
      </c>
    </row>
    <row r="8" ht="14.25" customHeight="1">
      <c r="B8" s="20" t="s">
        <v>14</v>
      </c>
      <c r="C8" s="21" t="s">
        <v>15</v>
      </c>
      <c r="D8" s="22" t="s">
        <v>16</v>
      </c>
      <c r="E8" s="23">
        <v>46237.0</v>
      </c>
      <c r="F8" s="23">
        <v>46239.0</v>
      </c>
      <c r="G8" s="22" t="s">
        <v>17</v>
      </c>
      <c r="H8" s="24">
        <f t="shared" ref="H8:T8" si="1">IF(AND(ISNUMBER($E8),ISNUMBER($F8),$E8&lt;=$F8,$E8&lt;=MIN(DATE(2026,8,3)+H$7*7-1,DATE(2026,10,31)),$F8&gt;=DATE(2026,8,3)+(H$7-1)*7),1,0)</f>
        <v>1</v>
      </c>
      <c r="I8" s="24">
        <f t="shared" si="1"/>
        <v>0</v>
      </c>
      <c r="J8" s="24">
        <f t="shared" si="1"/>
        <v>0</v>
      </c>
      <c r="K8" s="24">
        <f t="shared" si="1"/>
        <v>0</v>
      </c>
      <c r="L8" s="24">
        <f t="shared" si="1"/>
        <v>0</v>
      </c>
      <c r="M8" s="24">
        <f t="shared" si="1"/>
        <v>0</v>
      </c>
      <c r="N8" s="24">
        <f t="shared" si="1"/>
        <v>0</v>
      </c>
      <c r="O8" s="24">
        <f t="shared" si="1"/>
        <v>0</v>
      </c>
      <c r="P8" s="24">
        <f t="shared" si="1"/>
        <v>0</v>
      </c>
      <c r="Q8" s="24">
        <f t="shared" si="1"/>
        <v>0</v>
      </c>
      <c r="R8" s="24">
        <f t="shared" si="1"/>
        <v>0</v>
      </c>
      <c r="S8" s="24">
        <f t="shared" si="1"/>
        <v>0</v>
      </c>
      <c r="T8" s="24">
        <f t="shared" si="1"/>
        <v>0</v>
      </c>
      <c r="U8" s="25" t="s">
        <v>18</v>
      </c>
    </row>
    <row r="9" ht="14.25" customHeight="1">
      <c r="B9" s="26"/>
      <c r="C9" s="21" t="s">
        <v>19</v>
      </c>
      <c r="D9" s="22" t="s">
        <v>20</v>
      </c>
      <c r="E9" s="23">
        <v>46240.0</v>
      </c>
      <c r="F9" s="23">
        <v>46242.0</v>
      </c>
      <c r="G9" s="22" t="s">
        <v>17</v>
      </c>
      <c r="H9" s="24">
        <f t="shared" ref="H9:T9" si="2">IF(AND(ISNUMBER($E9),ISNUMBER($F9),$E9&lt;=$F9,$E9&lt;=MIN(DATE(2026,8,3)+H$7*7-1,DATE(2026,10,31)),$F9&gt;=DATE(2026,8,3)+(H$7-1)*7),1,0)</f>
        <v>1</v>
      </c>
      <c r="I9" s="24">
        <f t="shared" si="2"/>
        <v>0</v>
      </c>
      <c r="J9" s="24">
        <f t="shared" si="2"/>
        <v>0</v>
      </c>
      <c r="K9" s="24">
        <f t="shared" si="2"/>
        <v>0</v>
      </c>
      <c r="L9" s="24">
        <f t="shared" si="2"/>
        <v>0</v>
      </c>
      <c r="M9" s="24">
        <f t="shared" si="2"/>
        <v>0</v>
      </c>
      <c r="N9" s="24">
        <f t="shared" si="2"/>
        <v>0</v>
      </c>
      <c r="O9" s="24">
        <f t="shared" si="2"/>
        <v>0</v>
      </c>
      <c r="P9" s="24">
        <f t="shared" si="2"/>
        <v>0</v>
      </c>
      <c r="Q9" s="24">
        <f t="shared" si="2"/>
        <v>0</v>
      </c>
      <c r="R9" s="24">
        <f t="shared" si="2"/>
        <v>0</v>
      </c>
      <c r="S9" s="24">
        <f t="shared" si="2"/>
        <v>0</v>
      </c>
      <c r="T9" s="24">
        <f t="shared" si="2"/>
        <v>0</v>
      </c>
      <c r="U9" s="25" t="s">
        <v>21</v>
      </c>
    </row>
    <row r="10" ht="14.25" customHeight="1">
      <c r="B10" s="26"/>
      <c r="C10" s="21" t="s">
        <v>22</v>
      </c>
      <c r="D10" s="22" t="s">
        <v>23</v>
      </c>
      <c r="E10" s="23">
        <v>46240.0</v>
      </c>
      <c r="F10" s="23">
        <v>46243.0</v>
      </c>
      <c r="G10" s="22" t="s">
        <v>17</v>
      </c>
      <c r="H10" s="24">
        <f t="shared" ref="H10:T10" si="3">IF(AND(ISNUMBER($E10),ISNUMBER($F10),$E10&lt;=$F10,$E10&lt;=MIN(DATE(2026,8,3)+H$7*7-1,DATE(2026,10,31)),$F10&gt;=DATE(2026,8,3)+(H$7-1)*7),1,0)</f>
        <v>1</v>
      </c>
      <c r="I10" s="24">
        <f t="shared" si="3"/>
        <v>0</v>
      </c>
      <c r="J10" s="24">
        <f t="shared" si="3"/>
        <v>0</v>
      </c>
      <c r="K10" s="24">
        <f t="shared" si="3"/>
        <v>0</v>
      </c>
      <c r="L10" s="24">
        <f t="shared" si="3"/>
        <v>0</v>
      </c>
      <c r="M10" s="24">
        <f t="shared" si="3"/>
        <v>0</v>
      </c>
      <c r="N10" s="24">
        <f t="shared" si="3"/>
        <v>0</v>
      </c>
      <c r="O10" s="24">
        <f t="shared" si="3"/>
        <v>0</v>
      </c>
      <c r="P10" s="24">
        <f t="shared" si="3"/>
        <v>0</v>
      </c>
      <c r="Q10" s="24">
        <f t="shared" si="3"/>
        <v>0</v>
      </c>
      <c r="R10" s="24">
        <f t="shared" si="3"/>
        <v>0</v>
      </c>
      <c r="S10" s="24">
        <f t="shared" si="3"/>
        <v>0</v>
      </c>
      <c r="T10" s="24">
        <f t="shared" si="3"/>
        <v>0</v>
      </c>
      <c r="U10" s="25" t="s">
        <v>24</v>
      </c>
    </row>
    <row r="11" ht="14.25" customHeight="1">
      <c r="B11" s="26"/>
      <c r="C11" s="21" t="s">
        <v>25</v>
      </c>
      <c r="D11" s="22" t="s">
        <v>23</v>
      </c>
      <c r="E11" s="23">
        <v>46243.0</v>
      </c>
      <c r="F11" s="23">
        <v>46245.0</v>
      </c>
      <c r="G11" s="22" t="s">
        <v>17</v>
      </c>
      <c r="H11" s="24">
        <f t="shared" ref="H11:T11" si="4">IF(AND(ISNUMBER($E11),ISNUMBER($F11),$E11&lt;=$F11,$E11&lt;=MIN(DATE(2026,8,3)+H$7*7-1,DATE(2026,10,31)),$F11&gt;=DATE(2026,8,3)+(H$7-1)*7),1,0)</f>
        <v>1</v>
      </c>
      <c r="I11" s="24">
        <f t="shared" si="4"/>
        <v>1</v>
      </c>
      <c r="J11" s="24">
        <f t="shared" si="4"/>
        <v>0</v>
      </c>
      <c r="K11" s="24">
        <f t="shared" si="4"/>
        <v>0</v>
      </c>
      <c r="L11" s="24">
        <f t="shared" si="4"/>
        <v>0</v>
      </c>
      <c r="M11" s="24">
        <f t="shared" si="4"/>
        <v>0</v>
      </c>
      <c r="N11" s="24">
        <f t="shared" si="4"/>
        <v>0</v>
      </c>
      <c r="O11" s="24">
        <f t="shared" si="4"/>
        <v>0</v>
      </c>
      <c r="P11" s="24">
        <f t="shared" si="4"/>
        <v>0</v>
      </c>
      <c r="Q11" s="24">
        <f t="shared" si="4"/>
        <v>0</v>
      </c>
      <c r="R11" s="24">
        <f t="shared" si="4"/>
        <v>0</v>
      </c>
      <c r="S11" s="24">
        <f t="shared" si="4"/>
        <v>0</v>
      </c>
      <c r="T11" s="24">
        <f t="shared" si="4"/>
        <v>0</v>
      </c>
      <c r="U11" s="25" t="s">
        <v>26</v>
      </c>
    </row>
    <row r="12" ht="14.25" customHeight="1">
      <c r="B12" s="26"/>
      <c r="C12" s="21" t="s">
        <v>27</v>
      </c>
      <c r="D12" s="22" t="s">
        <v>28</v>
      </c>
      <c r="E12" s="23">
        <v>46242.0</v>
      </c>
      <c r="F12" s="23">
        <v>46244.0</v>
      </c>
      <c r="G12" s="22" t="s">
        <v>17</v>
      </c>
      <c r="H12" s="24">
        <f t="shared" ref="H12:T12" si="5">IF(AND(ISNUMBER($E12),ISNUMBER($F12),$E12&lt;=$F12,$E12&lt;=MIN(DATE(2026,8,3)+H$7*7-1,DATE(2026,10,31)),$F12&gt;=DATE(2026,8,3)+(H$7-1)*7),1,0)</f>
        <v>1</v>
      </c>
      <c r="I12" s="24">
        <f t="shared" si="5"/>
        <v>1</v>
      </c>
      <c r="J12" s="24">
        <f t="shared" si="5"/>
        <v>0</v>
      </c>
      <c r="K12" s="24">
        <f t="shared" si="5"/>
        <v>0</v>
      </c>
      <c r="L12" s="24">
        <f t="shared" si="5"/>
        <v>0</v>
      </c>
      <c r="M12" s="24">
        <f t="shared" si="5"/>
        <v>0</v>
      </c>
      <c r="N12" s="24">
        <f t="shared" si="5"/>
        <v>0</v>
      </c>
      <c r="O12" s="24">
        <f t="shared" si="5"/>
        <v>0</v>
      </c>
      <c r="P12" s="24">
        <f t="shared" si="5"/>
        <v>0</v>
      </c>
      <c r="Q12" s="24">
        <f t="shared" si="5"/>
        <v>0</v>
      </c>
      <c r="R12" s="24">
        <f t="shared" si="5"/>
        <v>0</v>
      </c>
      <c r="S12" s="24">
        <f t="shared" si="5"/>
        <v>0</v>
      </c>
      <c r="T12" s="24">
        <f t="shared" si="5"/>
        <v>0</v>
      </c>
      <c r="U12" s="25" t="s">
        <v>29</v>
      </c>
    </row>
    <row r="13" ht="14.25" customHeight="1">
      <c r="B13" s="26"/>
      <c r="C13" s="21" t="s">
        <v>30</v>
      </c>
      <c r="D13" s="22" t="s">
        <v>16</v>
      </c>
      <c r="E13" s="23">
        <v>46245.0</v>
      </c>
      <c r="F13" s="23">
        <v>46248.0</v>
      </c>
      <c r="G13" s="22" t="s">
        <v>17</v>
      </c>
      <c r="H13" s="24">
        <f t="shared" ref="H13:T13" si="6">IF(AND(ISNUMBER($E13),ISNUMBER($F13),$E13&lt;=$F13,$E13&lt;=MIN(DATE(2026,8,3)+H$7*7-1,DATE(2026,10,31)),$F13&gt;=DATE(2026,8,3)+(H$7-1)*7),1,0)</f>
        <v>0</v>
      </c>
      <c r="I13" s="24">
        <f t="shared" si="6"/>
        <v>1</v>
      </c>
      <c r="J13" s="24">
        <f t="shared" si="6"/>
        <v>0</v>
      </c>
      <c r="K13" s="24">
        <f t="shared" si="6"/>
        <v>0</v>
      </c>
      <c r="L13" s="24">
        <f t="shared" si="6"/>
        <v>0</v>
      </c>
      <c r="M13" s="24">
        <f t="shared" si="6"/>
        <v>0</v>
      </c>
      <c r="N13" s="24">
        <f t="shared" si="6"/>
        <v>0</v>
      </c>
      <c r="O13" s="24">
        <f t="shared" si="6"/>
        <v>0</v>
      </c>
      <c r="P13" s="24">
        <f t="shared" si="6"/>
        <v>0</v>
      </c>
      <c r="Q13" s="24">
        <f t="shared" si="6"/>
        <v>0</v>
      </c>
      <c r="R13" s="24">
        <f t="shared" si="6"/>
        <v>0</v>
      </c>
      <c r="S13" s="24">
        <f t="shared" si="6"/>
        <v>0</v>
      </c>
      <c r="T13" s="24">
        <f t="shared" si="6"/>
        <v>0</v>
      </c>
      <c r="U13" s="25" t="s">
        <v>31</v>
      </c>
    </row>
    <row r="14" ht="14.25" customHeight="1">
      <c r="B14" s="26"/>
      <c r="C14" s="21" t="s">
        <v>32</v>
      </c>
      <c r="D14" s="22" t="s">
        <v>33</v>
      </c>
      <c r="E14" s="23">
        <v>46246.0</v>
      </c>
      <c r="F14" s="23">
        <v>46250.0</v>
      </c>
      <c r="G14" s="22" t="s">
        <v>17</v>
      </c>
      <c r="H14" s="24">
        <f t="shared" ref="H14:T14" si="7">IF(AND(ISNUMBER($E14),ISNUMBER($F14),$E14&lt;=$F14,$E14&lt;=MIN(DATE(2026,8,3)+H$7*7-1,DATE(2026,10,31)),$F14&gt;=DATE(2026,8,3)+(H$7-1)*7),1,0)</f>
        <v>0</v>
      </c>
      <c r="I14" s="24">
        <f t="shared" si="7"/>
        <v>1</v>
      </c>
      <c r="J14" s="24">
        <f t="shared" si="7"/>
        <v>0</v>
      </c>
      <c r="K14" s="24">
        <f t="shared" si="7"/>
        <v>0</v>
      </c>
      <c r="L14" s="24">
        <f t="shared" si="7"/>
        <v>0</v>
      </c>
      <c r="M14" s="24">
        <f t="shared" si="7"/>
        <v>0</v>
      </c>
      <c r="N14" s="24">
        <f t="shared" si="7"/>
        <v>0</v>
      </c>
      <c r="O14" s="24">
        <f t="shared" si="7"/>
        <v>0</v>
      </c>
      <c r="P14" s="24">
        <f t="shared" si="7"/>
        <v>0</v>
      </c>
      <c r="Q14" s="24">
        <f t="shared" si="7"/>
        <v>0</v>
      </c>
      <c r="R14" s="24">
        <f t="shared" si="7"/>
        <v>0</v>
      </c>
      <c r="S14" s="24">
        <f t="shared" si="7"/>
        <v>0</v>
      </c>
      <c r="T14" s="24">
        <f t="shared" si="7"/>
        <v>0</v>
      </c>
      <c r="U14" s="25" t="s">
        <v>34</v>
      </c>
    </row>
    <row r="15" ht="14.25" customHeight="1">
      <c r="B15" s="26"/>
      <c r="C15" s="21" t="s">
        <v>35</v>
      </c>
      <c r="D15" s="22" t="s">
        <v>20</v>
      </c>
      <c r="E15" s="23">
        <v>46249.0</v>
      </c>
      <c r="F15" s="23">
        <v>46252.0</v>
      </c>
      <c r="G15" s="22" t="s">
        <v>17</v>
      </c>
      <c r="H15" s="24">
        <f t="shared" ref="H15:T15" si="8">IF(AND(ISNUMBER($E15),ISNUMBER($F15),$E15&lt;=$F15,$E15&lt;=MIN(DATE(2026,8,3)+H$7*7-1,DATE(2026,10,31)),$F15&gt;=DATE(2026,8,3)+(H$7-1)*7),1,0)</f>
        <v>0</v>
      </c>
      <c r="I15" s="24">
        <f t="shared" si="8"/>
        <v>1</v>
      </c>
      <c r="J15" s="24">
        <f t="shared" si="8"/>
        <v>1</v>
      </c>
      <c r="K15" s="24">
        <f t="shared" si="8"/>
        <v>0</v>
      </c>
      <c r="L15" s="24">
        <f t="shared" si="8"/>
        <v>0</v>
      </c>
      <c r="M15" s="24">
        <f t="shared" si="8"/>
        <v>0</v>
      </c>
      <c r="N15" s="24">
        <f t="shared" si="8"/>
        <v>0</v>
      </c>
      <c r="O15" s="24">
        <f t="shared" si="8"/>
        <v>0</v>
      </c>
      <c r="P15" s="24">
        <f t="shared" si="8"/>
        <v>0</v>
      </c>
      <c r="Q15" s="24">
        <f t="shared" si="8"/>
        <v>0</v>
      </c>
      <c r="R15" s="24">
        <f t="shared" si="8"/>
        <v>0</v>
      </c>
      <c r="S15" s="24">
        <f t="shared" si="8"/>
        <v>0</v>
      </c>
      <c r="T15" s="24">
        <f t="shared" si="8"/>
        <v>0</v>
      </c>
      <c r="U15" s="25" t="s">
        <v>36</v>
      </c>
    </row>
    <row r="16" ht="14.25" customHeight="1">
      <c r="B16" s="26"/>
      <c r="C16" s="21" t="s">
        <v>37</v>
      </c>
      <c r="D16" s="22" t="s">
        <v>38</v>
      </c>
      <c r="E16" s="23">
        <v>46253.0</v>
      </c>
      <c r="F16" s="23">
        <v>46255.0</v>
      </c>
      <c r="G16" s="22" t="s">
        <v>17</v>
      </c>
      <c r="H16" s="24">
        <f t="shared" ref="H16:T16" si="9">IF(AND(ISNUMBER($E16),ISNUMBER($F16),$E16&lt;=$F16,$E16&lt;=MIN(DATE(2026,8,3)+H$7*7-1,DATE(2026,10,31)),$F16&gt;=DATE(2026,8,3)+(H$7-1)*7),1,0)</f>
        <v>0</v>
      </c>
      <c r="I16" s="24">
        <f t="shared" si="9"/>
        <v>0</v>
      </c>
      <c r="J16" s="24">
        <f t="shared" si="9"/>
        <v>1</v>
      </c>
      <c r="K16" s="24">
        <f t="shared" si="9"/>
        <v>0</v>
      </c>
      <c r="L16" s="24">
        <f t="shared" si="9"/>
        <v>0</v>
      </c>
      <c r="M16" s="24">
        <f t="shared" si="9"/>
        <v>0</v>
      </c>
      <c r="N16" s="24">
        <f t="shared" si="9"/>
        <v>0</v>
      </c>
      <c r="O16" s="24">
        <f t="shared" si="9"/>
        <v>0</v>
      </c>
      <c r="P16" s="24">
        <f t="shared" si="9"/>
        <v>0</v>
      </c>
      <c r="Q16" s="24">
        <f t="shared" si="9"/>
        <v>0</v>
      </c>
      <c r="R16" s="24">
        <f t="shared" si="9"/>
        <v>0</v>
      </c>
      <c r="S16" s="24">
        <f t="shared" si="9"/>
        <v>0</v>
      </c>
      <c r="T16" s="24">
        <f t="shared" si="9"/>
        <v>0</v>
      </c>
      <c r="U16" s="25" t="s">
        <v>39</v>
      </c>
    </row>
    <row r="17" ht="14.25" customHeight="1">
      <c r="B17" s="26"/>
      <c r="C17" s="21" t="s">
        <v>40</v>
      </c>
      <c r="D17" s="22" t="s">
        <v>38</v>
      </c>
      <c r="E17" s="23">
        <v>46255.0</v>
      </c>
      <c r="F17" s="23">
        <v>46256.0</v>
      </c>
      <c r="G17" s="22" t="s">
        <v>17</v>
      </c>
      <c r="H17" s="24">
        <f t="shared" ref="H17:T17" si="10">IF(AND(ISNUMBER($E17),ISNUMBER($F17),$E17&lt;=$F17,$E17&lt;=MIN(DATE(2026,8,3)+H$7*7-1,DATE(2026,10,31)),$F17&gt;=DATE(2026,8,3)+(H$7-1)*7),1,0)</f>
        <v>0</v>
      </c>
      <c r="I17" s="24">
        <f t="shared" si="10"/>
        <v>0</v>
      </c>
      <c r="J17" s="24">
        <f t="shared" si="10"/>
        <v>1</v>
      </c>
      <c r="K17" s="24">
        <f t="shared" si="10"/>
        <v>0</v>
      </c>
      <c r="L17" s="24">
        <f t="shared" si="10"/>
        <v>0</v>
      </c>
      <c r="M17" s="24">
        <f t="shared" si="10"/>
        <v>0</v>
      </c>
      <c r="N17" s="24">
        <f t="shared" si="10"/>
        <v>0</v>
      </c>
      <c r="O17" s="24">
        <f t="shared" si="10"/>
        <v>0</v>
      </c>
      <c r="P17" s="24">
        <f t="shared" si="10"/>
        <v>0</v>
      </c>
      <c r="Q17" s="24">
        <f t="shared" si="10"/>
        <v>0</v>
      </c>
      <c r="R17" s="24">
        <f t="shared" si="10"/>
        <v>0</v>
      </c>
      <c r="S17" s="24">
        <f t="shared" si="10"/>
        <v>0</v>
      </c>
      <c r="T17" s="24">
        <f t="shared" si="10"/>
        <v>0</v>
      </c>
      <c r="U17" s="25" t="s">
        <v>41</v>
      </c>
    </row>
    <row r="18" ht="14.25" customHeight="1">
      <c r="B18" s="26"/>
      <c r="C18" s="21" t="s">
        <v>42</v>
      </c>
      <c r="D18" s="22" t="s">
        <v>23</v>
      </c>
      <c r="E18" s="23">
        <v>46254.0</v>
      </c>
      <c r="F18" s="23">
        <v>46257.0</v>
      </c>
      <c r="G18" s="22" t="s">
        <v>17</v>
      </c>
      <c r="H18" s="24">
        <f t="shared" ref="H18:T18" si="11">IF(AND(ISNUMBER($E18),ISNUMBER($F18),$E18&lt;=$F18,$E18&lt;=MIN(DATE(2026,8,3)+H$7*7-1,DATE(2026,10,31)),$F18&gt;=DATE(2026,8,3)+(H$7-1)*7),1,0)</f>
        <v>0</v>
      </c>
      <c r="I18" s="24">
        <f t="shared" si="11"/>
        <v>0</v>
      </c>
      <c r="J18" s="24">
        <f t="shared" si="11"/>
        <v>1</v>
      </c>
      <c r="K18" s="24">
        <f t="shared" si="11"/>
        <v>0</v>
      </c>
      <c r="L18" s="24">
        <f t="shared" si="11"/>
        <v>0</v>
      </c>
      <c r="M18" s="24">
        <f t="shared" si="11"/>
        <v>0</v>
      </c>
      <c r="N18" s="24">
        <f t="shared" si="11"/>
        <v>0</v>
      </c>
      <c r="O18" s="24">
        <f t="shared" si="11"/>
        <v>0</v>
      </c>
      <c r="P18" s="24">
        <f t="shared" si="11"/>
        <v>0</v>
      </c>
      <c r="Q18" s="24">
        <f t="shared" si="11"/>
        <v>0</v>
      </c>
      <c r="R18" s="24">
        <f t="shared" si="11"/>
        <v>0</v>
      </c>
      <c r="S18" s="24">
        <f t="shared" si="11"/>
        <v>0</v>
      </c>
      <c r="T18" s="24">
        <f t="shared" si="11"/>
        <v>0</v>
      </c>
      <c r="U18" s="25" t="s">
        <v>43</v>
      </c>
    </row>
    <row r="19" ht="14.25" customHeight="1">
      <c r="B19" s="26"/>
      <c r="C19" s="21" t="s">
        <v>44</v>
      </c>
      <c r="D19" s="27" t="s">
        <v>45</v>
      </c>
      <c r="E19" s="23">
        <v>46255.0</v>
      </c>
      <c r="F19" s="23">
        <v>46259.0</v>
      </c>
      <c r="G19" s="22" t="s">
        <v>17</v>
      </c>
      <c r="H19" s="24">
        <f t="shared" ref="H19:T19" si="12">IF(AND(ISNUMBER($E19),ISNUMBER($F19),$E19&lt;=$F19,$E19&lt;=MIN(DATE(2026,8,3)+H$7*7-1,DATE(2026,10,31)),$F19&gt;=DATE(2026,8,3)+(H$7-1)*7),1,0)</f>
        <v>0</v>
      </c>
      <c r="I19" s="24">
        <f t="shared" si="12"/>
        <v>0</v>
      </c>
      <c r="J19" s="24">
        <f t="shared" si="12"/>
        <v>1</v>
      </c>
      <c r="K19" s="24">
        <f t="shared" si="12"/>
        <v>1</v>
      </c>
      <c r="L19" s="24">
        <f t="shared" si="12"/>
        <v>0</v>
      </c>
      <c r="M19" s="24">
        <f t="shared" si="12"/>
        <v>0</v>
      </c>
      <c r="N19" s="24">
        <f t="shared" si="12"/>
        <v>0</v>
      </c>
      <c r="O19" s="24">
        <f t="shared" si="12"/>
        <v>0</v>
      </c>
      <c r="P19" s="24">
        <f t="shared" si="12"/>
        <v>0</v>
      </c>
      <c r="Q19" s="24">
        <f t="shared" si="12"/>
        <v>0</v>
      </c>
      <c r="R19" s="24">
        <f t="shared" si="12"/>
        <v>0</v>
      </c>
      <c r="S19" s="24">
        <f t="shared" si="12"/>
        <v>0</v>
      </c>
      <c r="T19" s="24">
        <f t="shared" si="12"/>
        <v>0</v>
      </c>
      <c r="U19" s="25" t="s">
        <v>46</v>
      </c>
    </row>
    <row r="20" ht="14.25" customHeight="1">
      <c r="B20" s="26"/>
      <c r="C20" s="21" t="s">
        <v>47</v>
      </c>
      <c r="D20" s="22" t="s">
        <v>23</v>
      </c>
      <c r="E20" s="23">
        <v>46260.0</v>
      </c>
      <c r="F20" s="23">
        <v>46262.0</v>
      </c>
      <c r="G20" s="22" t="s">
        <v>17</v>
      </c>
      <c r="H20" s="24">
        <f t="shared" ref="H20:T20" si="13">IF(AND(ISNUMBER($E20),ISNUMBER($F20),$E20&lt;=$F20,$E20&lt;=MIN(DATE(2026,8,3)+H$7*7-1,DATE(2026,10,31)),$F20&gt;=DATE(2026,8,3)+(H$7-1)*7),1,0)</f>
        <v>0</v>
      </c>
      <c r="I20" s="24">
        <f t="shared" si="13"/>
        <v>0</v>
      </c>
      <c r="J20" s="24">
        <f t="shared" si="13"/>
        <v>0</v>
      </c>
      <c r="K20" s="24">
        <f t="shared" si="13"/>
        <v>1</v>
      </c>
      <c r="L20" s="24">
        <f t="shared" si="13"/>
        <v>0</v>
      </c>
      <c r="M20" s="24">
        <f t="shared" si="13"/>
        <v>0</v>
      </c>
      <c r="N20" s="24">
        <f t="shared" si="13"/>
        <v>0</v>
      </c>
      <c r="O20" s="24">
        <f t="shared" si="13"/>
        <v>0</v>
      </c>
      <c r="P20" s="24">
        <f t="shared" si="13"/>
        <v>0</v>
      </c>
      <c r="Q20" s="24">
        <f t="shared" si="13"/>
        <v>0</v>
      </c>
      <c r="R20" s="24">
        <f t="shared" si="13"/>
        <v>0</v>
      </c>
      <c r="S20" s="24">
        <f t="shared" si="13"/>
        <v>0</v>
      </c>
      <c r="T20" s="24">
        <f t="shared" si="13"/>
        <v>0</v>
      </c>
      <c r="U20" s="25" t="s">
        <v>48</v>
      </c>
    </row>
    <row r="21" ht="14.25" customHeight="1">
      <c r="B21" s="26"/>
      <c r="C21" s="21" t="s">
        <v>49</v>
      </c>
      <c r="D21" s="27" t="s">
        <v>45</v>
      </c>
      <c r="E21" s="23">
        <v>46260.0</v>
      </c>
      <c r="F21" s="23">
        <v>46269.0</v>
      </c>
      <c r="G21" s="22" t="s">
        <v>17</v>
      </c>
      <c r="H21" s="24">
        <f t="shared" ref="H21:T21" si="14">IF(AND(ISNUMBER($E21),ISNUMBER($F21),$E21&lt;=$F21,$E21&lt;=MIN(DATE(2026,8,3)+H$7*7-1,DATE(2026,10,31)),$F21&gt;=DATE(2026,8,3)+(H$7-1)*7),1,0)</f>
        <v>0</v>
      </c>
      <c r="I21" s="24">
        <f t="shared" si="14"/>
        <v>0</v>
      </c>
      <c r="J21" s="24">
        <f t="shared" si="14"/>
        <v>0</v>
      </c>
      <c r="K21" s="24">
        <f t="shared" si="14"/>
        <v>1</v>
      </c>
      <c r="L21" s="24">
        <f t="shared" si="14"/>
        <v>1</v>
      </c>
      <c r="M21" s="24">
        <f t="shared" si="14"/>
        <v>0</v>
      </c>
      <c r="N21" s="24">
        <f t="shared" si="14"/>
        <v>0</v>
      </c>
      <c r="O21" s="24">
        <f t="shared" si="14"/>
        <v>0</v>
      </c>
      <c r="P21" s="24">
        <f t="shared" si="14"/>
        <v>0</v>
      </c>
      <c r="Q21" s="24">
        <f t="shared" si="14"/>
        <v>0</v>
      </c>
      <c r="R21" s="24">
        <f t="shared" si="14"/>
        <v>0</v>
      </c>
      <c r="S21" s="24">
        <f t="shared" si="14"/>
        <v>0</v>
      </c>
      <c r="T21" s="24">
        <f t="shared" si="14"/>
        <v>0</v>
      </c>
      <c r="U21" s="25" t="s">
        <v>50</v>
      </c>
    </row>
    <row r="22" ht="14.25" customHeight="1"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30"/>
    </row>
    <row r="23" ht="14.25" customHeight="1">
      <c r="B23" s="20" t="s">
        <v>51</v>
      </c>
      <c r="C23" s="21" t="s">
        <v>52</v>
      </c>
      <c r="D23" s="22" t="s">
        <v>23</v>
      </c>
      <c r="E23" s="23">
        <v>46256.0</v>
      </c>
      <c r="F23" s="23">
        <v>46258.0</v>
      </c>
      <c r="G23" s="22" t="s">
        <v>17</v>
      </c>
      <c r="H23" s="24">
        <f t="shared" ref="H23:T23" si="15">IF(AND(ISNUMBER($E23),ISNUMBER($F23),$E23&lt;=$F23,$E23&lt;=MIN(DATE(2026,8,3)+H$7*7-1,DATE(2026,10,31)),$F23&gt;=DATE(2026,8,3)+(H$7-1)*7),1,0)</f>
        <v>0</v>
      </c>
      <c r="I23" s="24">
        <f t="shared" si="15"/>
        <v>0</v>
      </c>
      <c r="J23" s="24">
        <f t="shared" si="15"/>
        <v>1</v>
      </c>
      <c r="K23" s="24">
        <f t="shared" si="15"/>
        <v>1</v>
      </c>
      <c r="L23" s="24">
        <f t="shared" si="15"/>
        <v>0</v>
      </c>
      <c r="M23" s="24">
        <f t="shared" si="15"/>
        <v>0</v>
      </c>
      <c r="N23" s="24">
        <f t="shared" si="15"/>
        <v>0</v>
      </c>
      <c r="O23" s="24">
        <f t="shared" si="15"/>
        <v>0</v>
      </c>
      <c r="P23" s="24">
        <f t="shared" si="15"/>
        <v>0</v>
      </c>
      <c r="Q23" s="24">
        <f t="shared" si="15"/>
        <v>0</v>
      </c>
      <c r="R23" s="24">
        <f t="shared" si="15"/>
        <v>0</v>
      </c>
      <c r="S23" s="24">
        <f t="shared" si="15"/>
        <v>0</v>
      </c>
      <c r="T23" s="24">
        <f t="shared" si="15"/>
        <v>0</v>
      </c>
      <c r="U23" s="25" t="s">
        <v>53</v>
      </c>
    </row>
    <row r="24" ht="14.25" customHeight="1">
      <c r="B24" s="26"/>
      <c r="C24" s="21" t="s">
        <v>54</v>
      </c>
      <c r="D24" s="22" t="s">
        <v>23</v>
      </c>
      <c r="E24" s="23">
        <v>46262.0</v>
      </c>
      <c r="F24" s="23">
        <v>46267.0</v>
      </c>
      <c r="G24" s="22" t="s">
        <v>17</v>
      </c>
      <c r="H24" s="24">
        <f t="shared" ref="H24:T24" si="16">IF(AND(ISNUMBER($E24),ISNUMBER($F24),$E24&lt;=$F24,$E24&lt;=MIN(DATE(2026,8,3)+H$7*7-1,DATE(2026,10,31)),$F24&gt;=DATE(2026,8,3)+(H$7-1)*7),1,0)</f>
        <v>0</v>
      </c>
      <c r="I24" s="24">
        <f t="shared" si="16"/>
        <v>0</v>
      </c>
      <c r="J24" s="24">
        <f t="shared" si="16"/>
        <v>0</v>
      </c>
      <c r="K24" s="24">
        <f t="shared" si="16"/>
        <v>1</v>
      </c>
      <c r="L24" s="24">
        <f t="shared" si="16"/>
        <v>1</v>
      </c>
      <c r="M24" s="24">
        <f t="shared" si="16"/>
        <v>0</v>
      </c>
      <c r="N24" s="24">
        <f t="shared" si="16"/>
        <v>0</v>
      </c>
      <c r="O24" s="24">
        <f t="shared" si="16"/>
        <v>0</v>
      </c>
      <c r="P24" s="24">
        <f t="shared" si="16"/>
        <v>0</v>
      </c>
      <c r="Q24" s="24">
        <f t="shared" si="16"/>
        <v>0</v>
      </c>
      <c r="R24" s="24">
        <f t="shared" si="16"/>
        <v>0</v>
      </c>
      <c r="S24" s="24">
        <f t="shared" si="16"/>
        <v>0</v>
      </c>
      <c r="T24" s="24">
        <f t="shared" si="16"/>
        <v>0</v>
      </c>
      <c r="U24" s="25" t="s">
        <v>55</v>
      </c>
    </row>
    <row r="25" ht="14.25" customHeight="1">
      <c r="B25" s="26"/>
      <c r="C25" s="21" t="s">
        <v>56</v>
      </c>
      <c r="D25" s="22" t="s">
        <v>23</v>
      </c>
      <c r="E25" s="23">
        <v>46268.0</v>
      </c>
      <c r="F25" s="23">
        <v>46273.0</v>
      </c>
      <c r="G25" s="22" t="s">
        <v>17</v>
      </c>
      <c r="H25" s="24">
        <f t="shared" ref="H25:T25" si="17">IF(AND(ISNUMBER($E25),ISNUMBER($F25),$E25&lt;=$F25,$E25&lt;=MIN(DATE(2026,8,3)+H$7*7-1,DATE(2026,10,31)),$F25&gt;=DATE(2026,8,3)+(H$7-1)*7),1,0)</f>
        <v>0</v>
      </c>
      <c r="I25" s="24">
        <f t="shared" si="17"/>
        <v>0</v>
      </c>
      <c r="J25" s="24">
        <f t="shared" si="17"/>
        <v>0</v>
      </c>
      <c r="K25" s="24">
        <f t="shared" si="17"/>
        <v>0</v>
      </c>
      <c r="L25" s="24">
        <f t="shared" si="17"/>
        <v>1</v>
      </c>
      <c r="M25" s="24">
        <f t="shared" si="17"/>
        <v>1</v>
      </c>
      <c r="N25" s="24">
        <f t="shared" si="17"/>
        <v>0</v>
      </c>
      <c r="O25" s="24">
        <f t="shared" si="17"/>
        <v>0</v>
      </c>
      <c r="P25" s="24">
        <f t="shared" si="17"/>
        <v>0</v>
      </c>
      <c r="Q25" s="24">
        <f t="shared" si="17"/>
        <v>0</v>
      </c>
      <c r="R25" s="24">
        <f t="shared" si="17"/>
        <v>0</v>
      </c>
      <c r="S25" s="24">
        <f t="shared" si="17"/>
        <v>0</v>
      </c>
      <c r="T25" s="24">
        <f t="shared" si="17"/>
        <v>0</v>
      </c>
      <c r="U25" s="25" t="s">
        <v>57</v>
      </c>
    </row>
    <row r="26" ht="14.25" customHeight="1">
      <c r="B26" s="26"/>
      <c r="C26" s="21" t="s">
        <v>58</v>
      </c>
      <c r="D26" s="22" t="s">
        <v>23</v>
      </c>
      <c r="E26" s="23">
        <v>46274.0</v>
      </c>
      <c r="F26" s="23">
        <v>46279.0</v>
      </c>
      <c r="G26" s="22" t="s">
        <v>17</v>
      </c>
      <c r="H26" s="24">
        <f t="shared" ref="H26:T26" si="18">IF(AND(ISNUMBER($E26),ISNUMBER($F26),$E26&lt;=$F26,$E26&lt;=MIN(DATE(2026,8,3)+H$7*7-1,DATE(2026,10,31)),$F26&gt;=DATE(2026,8,3)+(H$7-1)*7),1,0)</f>
        <v>0</v>
      </c>
      <c r="I26" s="24">
        <f t="shared" si="18"/>
        <v>0</v>
      </c>
      <c r="J26" s="24">
        <f t="shared" si="18"/>
        <v>0</v>
      </c>
      <c r="K26" s="24">
        <f t="shared" si="18"/>
        <v>0</v>
      </c>
      <c r="L26" s="24">
        <f t="shared" si="18"/>
        <v>0</v>
      </c>
      <c r="M26" s="24">
        <f t="shared" si="18"/>
        <v>1</v>
      </c>
      <c r="N26" s="24">
        <f t="shared" si="18"/>
        <v>1</v>
      </c>
      <c r="O26" s="24">
        <f t="shared" si="18"/>
        <v>0</v>
      </c>
      <c r="P26" s="24">
        <f t="shared" si="18"/>
        <v>0</v>
      </c>
      <c r="Q26" s="24">
        <f t="shared" si="18"/>
        <v>0</v>
      </c>
      <c r="R26" s="24">
        <f t="shared" si="18"/>
        <v>0</v>
      </c>
      <c r="S26" s="24">
        <f t="shared" si="18"/>
        <v>0</v>
      </c>
      <c r="T26" s="24">
        <f t="shared" si="18"/>
        <v>0</v>
      </c>
      <c r="U26" s="25" t="s">
        <v>59</v>
      </c>
    </row>
    <row r="27" ht="14.25" customHeight="1">
      <c r="B27" s="26"/>
      <c r="C27" s="21" t="s">
        <v>60</v>
      </c>
      <c r="D27" s="22" t="s">
        <v>23</v>
      </c>
      <c r="E27" s="23">
        <v>46277.0</v>
      </c>
      <c r="F27" s="23">
        <v>46282.0</v>
      </c>
      <c r="G27" s="22" t="s">
        <v>17</v>
      </c>
      <c r="H27" s="24">
        <f t="shared" ref="H27:T27" si="19">IF(AND(ISNUMBER($E27),ISNUMBER($F27),$E27&lt;=$F27,$E27&lt;=MIN(DATE(2026,8,3)+H$7*7-1,DATE(2026,10,31)),$F27&gt;=DATE(2026,8,3)+(H$7-1)*7),1,0)</f>
        <v>0</v>
      </c>
      <c r="I27" s="24">
        <f t="shared" si="19"/>
        <v>0</v>
      </c>
      <c r="J27" s="24">
        <f t="shared" si="19"/>
        <v>0</v>
      </c>
      <c r="K27" s="24">
        <f t="shared" si="19"/>
        <v>0</v>
      </c>
      <c r="L27" s="24">
        <f t="shared" si="19"/>
        <v>0</v>
      </c>
      <c r="M27" s="24">
        <f t="shared" si="19"/>
        <v>1</v>
      </c>
      <c r="N27" s="24">
        <f t="shared" si="19"/>
        <v>1</v>
      </c>
      <c r="O27" s="24">
        <f t="shared" si="19"/>
        <v>0</v>
      </c>
      <c r="P27" s="24">
        <f t="shared" si="19"/>
        <v>0</v>
      </c>
      <c r="Q27" s="24">
        <f t="shared" si="19"/>
        <v>0</v>
      </c>
      <c r="R27" s="24">
        <f t="shared" si="19"/>
        <v>0</v>
      </c>
      <c r="S27" s="24">
        <f t="shared" si="19"/>
        <v>0</v>
      </c>
      <c r="T27" s="24">
        <f t="shared" si="19"/>
        <v>0</v>
      </c>
      <c r="U27" s="25" t="s">
        <v>61</v>
      </c>
    </row>
    <row r="28" ht="14.25" customHeight="1">
      <c r="B28" s="26"/>
      <c r="C28" s="21" t="s">
        <v>62</v>
      </c>
      <c r="D28" s="22" t="s">
        <v>23</v>
      </c>
      <c r="E28" s="23">
        <v>46280.0</v>
      </c>
      <c r="F28" s="23">
        <v>46285.0</v>
      </c>
      <c r="G28" s="22" t="s">
        <v>17</v>
      </c>
      <c r="H28" s="24">
        <f t="shared" ref="H28:T28" si="20">IF(AND(ISNUMBER($E28),ISNUMBER($F28),$E28&lt;=$F28,$E28&lt;=MIN(DATE(2026,8,3)+H$7*7-1,DATE(2026,10,31)),$F28&gt;=DATE(2026,8,3)+(H$7-1)*7),1,0)</f>
        <v>0</v>
      </c>
      <c r="I28" s="24">
        <f t="shared" si="20"/>
        <v>0</v>
      </c>
      <c r="J28" s="24">
        <f t="shared" si="20"/>
        <v>0</v>
      </c>
      <c r="K28" s="24">
        <f t="shared" si="20"/>
        <v>0</v>
      </c>
      <c r="L28" s="24">
        <f t="shared" si="20"/>
        <v>0</v>
      </c>
      <c r="M28" s="24">
        <f t="shared" si="20"/>
        <v>0</v>
      </c>
      <c r="N28" s="24">
        <f t="shared" si="20"/>
        <v>1</v>
      </c>
      <c r="O28" s="24">
        <f t="shared" si="20"/>
        <v>0</v>
      </c>
      <c r="P28" s="24">
        <f t="shared" si="20"/>
        <v>0</v>
      </c>
      <c r="Q28" s="24">
        <f t="shared" si="20"/>
        <v>0</v>
      </c>
      <c r="R28" s="24">
        <f t="shared" si="20"/>
        <v>0</v>
      </c>
      <c r="S28" s="24">
        <f t="shared" si="20"/>
        <v>0</v>
      </c>
      <c r="T28" s="24">
        <f t="shared" si="20"/>
        <v>0</v>
      </c>
      <c r="U28" s="25" t="s">
        <v>63</v>
      </c>
    </row>
    <row r="29" ht="14.25" customHeight="1">
      <c r="B29" s="26"/>
      <c r="C29" s="21" t="s">
        <v>64</v>
      </c>
      <c r="D29" s="27" t="s">
        <v>45</v>
      </c>
      <c r="E29" s="23">
        <v>46279.0</v>
      </c>
      <c r="F29" s="23">
        <v>46285.0</v>
      </c>
      <c r="G29" s="22" t="s">
        <v>17</v>
      </c>
      <c r="H29" s="24">
        <f t="shared" ref="H29:T29" si="21">IF(AND(ISNUMBER($E29),ISNUMBER($F29),$E29&lt;=$F29,$E29&lt;=MIN(DATE(2026,8,3)+H$7*7-1,DATE(2026,10,31)),$F29&gt;=DATE(2026,8,3)+(H$7-1)*7),1,0)</f>
        <v>0</v>
      </c>
      <c r="I29" s="24">
        <f t="shared" si="21"/>
        <v>0</v>
      </c>
      <c r="J29" s="24">
        <f t="shared" si="21"/>
        <v>0</v>
      </c>
      <c r="K29" s="24">
        <f t="shared" si="21"/>
        <v>0</v>
      </c>
      <c r="L29" s="24">
        <f t="shared" si="21"/>
        <v>0</v>
      </c>
      <c r="M29" s="24">
        <f t="shared" si="21"/>
        <v>0</v>
      </c>
      <c r="N29" s="24">
        <f t="shared" si="21"/>
        <v>1</v>
      </c>
      <c r="O29" s="24">
        <f t="shared" si="21"/>
        <v>0</v>
      </c>
      <c r="P29" s="24">
        <f t="shared" si="21"/>
        <v>0</v>
      </c>
      <c r="Q29" s="24">
        <f t="shared" si="21"/>
        <v>0</v>
      </c>
      <c r="R29" s="24">
        <f t="shared" si="21"/>
        <v>0</v>
      </c>
      <c r="S29" s="24">
        <f t="shared" si="21"/>
        <v>0</v>
      </c>
      <c r="T29" s="24">
        <f t="shared" si="21"/>
        <v>0</v>
      </c>
      <c r="U29" s="25" t="s">
        <v>65</v>
      </c>
    </row>
    <row r="30" ht="14.25" customHeight="1">
      <c r="B30" s="26"/>
      <c r="C30" s="21" t="s">
        <v>66</v>
      </c>
      <c r="D30" s="22" t="s">
        <v>23</v>
      </c>
      <c r="E30" s="23">
        <v>46284.0</v>
      </c>
      <c r="F30" s="23">
        <v>46286.0</v>
      </c>
      <c r="G30" s="22" t="s">
        <v>17</v>
      </c>
      <c r="H30" s="24">
        <f t="shared" ref="H30:T30" si="22">IF(AND(ISNUMBER($E30),ISNUMBER($F30),$E30&lt;=$F30,$E30&lt;=MIN(DATE(2026,8,3)+H$7*7-1,DATE(2026,10,31)),$F30&gt;=DATE(2026,8,3)+(H$7-1)*7),1,0)</f>
        <v>0</v>
      </c>
      <c r="I30" s="24">
        <f t="shared" si="22"/>
        <v>0</v>
      </c>
      <c r="J30" s="24">
        <f t="shared" si="22"/>
        <v>0</v>
      </c>
      <c r="K30" s="24">
        <f t="shared" si="22"/>
        <v>0</v>
      </c>
      <c r="L30" s="24">
        <f t="shared" si="22"/>
        <v>0</v>
      </c>
      <c r="M30" s="24">
        <f t="shared" si="22"/>
        <v>0</v>
      </c>
      <c r="N30" s="24">
        <f t="shared" si="22"/>
        <v>1</v>
      </c>
      <c r="O30" s="24">
        <f t="shared" si="22"/>
        <v>1</v>
      </c>
      <c r="P30" s="24">
        <f t="shared" si="22"/>
        <v>0</v>
      </c>
      <c r="Q30" s="24">
        <f t="shared" si="22"/>
        <v>0</v>
      </c>
      <c r="R30" s="24">
        <f t="shared" si="22"/>
        <v>0</v>
      </c>
      <c r="S30" s="24">
        <f t="shared" si="22"/>
        <v>0</v>
      </c>
      <c r="T30" s="24">
        <f t="shared" si="22"/>
        <v>0</v>
      </c>
      <c r="U30" s="25" t="s">
        <v>67</v>
      </c>
    </row>
    <row r="31" ht="14.25" customHeight="1">
      <c r="B31" s="26"/>
      <c r="C31" s="21" t="s">
        <v>68</v>
      </c>
      <c r="D31" s="22" t="s">
        <v>23</v>
      </c>
      <c r="E31" s="23">
        <v>46287.0</v>
      </c>
      <c r="F31" s="23">
        <v>46290.0</v>
      </c>
      <c r="G31" s="22" t="s">
        <v>17</v>
      </c>
      <c r="H31" s="24">
        <f t="shared" ref="H31:T31" si="23">IF(AND(ISNUMBER($E31),ISNUMBER($F31),$E31&lt;=$F31,$E31&lt;=MIN(DATE(2026,8,3)+H$7*7-1,DATE(2026,10,31)),$F31&gt;=DATE(2026,8,3)+(H$7-1)*7),1,0)</f>
        <v>0</v>
      </c>
      <c r="I31" s="24">
        <f t="shared" si="23"/>
        <v>0</v>
      </c>
      <c r="J31" s="24">
        <f t="shared" si="23"/>
        <v>0</v>
      </c>
      <c r="K31" s="24">
        <f t="shared" si="23"/>
        <v>0</v>
      </c>
      <c r="L31" s="24">
        <f t="shared" si="23"/>
        <v>0</v>
      </c>
      <c r="M31" s="24">
        <f t="shared" si="23"/>
        <v>0</v>
      </c>
      <c r="N31" s="24">
        <f t="shared" si="23"/>
        <v>0</v>
      </c>
      <c r="O31" s="24">
        <f t="shared" si="23"/>
        <v>1</v>
      </c>
      <c r="P31" s="24">
        <f t="shared" si="23"/>
        <v>0</v>
      </c>
      <c r="Q31" s="24">
        <f t="shared" si="23"/>
        <v>0</v>
      </c>
      <c r="R31" s="24">
        <f t="shared" si="23"/>
        <v>0</v>
      </c>
      <c r="S31" s="24">
        <f t="shared" si="23"/>
        <v>0</v>
      </c>
      <c r="T31" s="24">
        <f t="shared" si="23"/>
        <v>0</v>
      </c>
      <c r="U31" s="25" t="s">
        <v>69</v>
      </c>
    </row>
    <row r="32" ht="14.25" customHeight="1">
      <c r="B32" s="26"/>
      <c r="C32" s="21" t="s">
        <v>70</v>
      </c>
      <c r="D32" s="22" t="s">
        <v>23</v>
      </c>
      <c r="E32" s="23">
        <v>46289.0</v>
      </c>
      <c r="F32" s="23">
        <v>46295.0</v>
      </c>
      <c r="G32" s="22" t="s">
        <v>17</v>
      </c>
      <c r="H32" s="24">
        <f t="shared" ref="H32:T32" si="24">IF(AND(ISNUMBER($E32),ISNUMBER($F32),$E32&lt;=$F32,$E32&lt;=MIN(DATE(2026,8,3)+H$7*7-1,DATE(2026,10,31)),$F32&gt;=DATE(2026,8,3)+(H$7-1)*7),1,0)</f>
        <v>0</v>
      </c>
      <c r="I32" s="24">
        <f t="shared" si="24"/>
        <v>0</v>
      </c>
      <c r="J32" s="24">
        <f t="shared" si="24"/>
        <v>0</v>
      </c>
      <c r="K32" s="24">
        <f t="shared" si="24"/>
        <v>0</v>
      </c>
      <c r="L32" s="24">
        <f t="shared" si="24"/>
        <v>0</v>
      </c>
      <c r="M32" s="24">
        <f t="shared" si="24"/>
        <v>0</v>
      </c>
      <c r="N32" s="24">
        <f t="shared" si="24"/>
        <v>0</v>
      </c>
      <c r="O32" s="24">
        <f t="shared" si="24"/>
        <v>1</v>
      </c>
      <c r="P32" s="24">
        <f t="shared" si="24"/>
        <v>1</v>
      </c>
      <c r="Q32" s="24">
        <f t="shared" si="24"/>
        <v>0</v>
      </c>
      <c r="R32" s="24">
        <f t="shared" si="24"/>
        <v>0</v>
      </c>
      <c r="S32" s="24">
        <f t="shared" si="24"/>
        <v>0</v>
      </c>
      <c r="T32" s="24">
        <f t="shared" si="24"/>
        <v>0</v>
      </c>
      <c r="U32" s="25" t="s">
        <v>71</v>
      </c>
    </row>
    <row r="33" ht="14.25" customHeight="1">
      <c r="B33" s="28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30"/>
    </row>
    <row r="34" ht="14.25" customHeight="1">
      <c r="B34" s="20" t="s">
        <v>72</v>
      </c>
      <c r="C34" s="21" t="s">
        <v>73</v>
      </c>
      <c r="D34" s="27" t="s">
        <v>45</v>
      </c>
      <c r="E34" s="23">
        <v>46295.0</v>
      </c>
      <c r="F34" s="23">
        <v>46297.0</v>
      </c>
      <c r="G34" s="22" t="s">
        <v>17</v>
      </c>
      <c r="H34" s="24">
        <f t="shared" ref="H34:T34" si="25">IF(AND(ISNUMBER($E34),ISNUMBER($F34),$E34&lt;=$F34,$E34&lt;=MIN(DATE(2026,8,3)+H$7*7-1,DATE(2026,10,31)),$F34&gt;=DATE(2026,8,3)+(H$7-1)*7),1,0)</f>
        <v>0</v>
      </c>
      <c r="I34" s="24">
        <f t="shared" si="25"/>
        <v>0</v>
      </c>
      <c r="J34" s="24">
        <f t="shared" si="25"/>
        <v>0</v>
      </c>
      <c r="K34" s="24">
        <f t="shared" si="25"/>
        <v>0</v>
      </c>
      <c r="L34" s="24">
        <f t="shared" si="25"/>
        <v>0</v>
      </c>
      <c r="M34" s="24">
        <f t="shared" si="25"/>
        <v>0</v>
      </c>
      <c r="N34" s="24">
        <f t="shared" si="25"/>
        <v>0</v>
      </c>
      <c r="O34" s="24">
        <f t="shared" si="25"/>
        <v>0</v>
      </c>
      <c r="P34" s="24">
        <f t="shared" si="25"/>
        <v>1</v>
      </c>
      <c r="Q34" s="24">
        <f t="shared" si="25"/>
        <v>0</v>
      </c>
      <c r="R34" s="24">
        <f t="shared" si="25"/>
        <v>0</v>
      </c>
      <c r="S34" s="24">
        <f t="shared" si="25"/>
        <v>0</v>
      </c>
      <c r="T34" s="24">
        <f t="shared" si="25"/>
        <v>0</v>
      </c>
      <c r="U34" s="25" t="s">
        <v>74</v>
      </c>
    </row>
    <row r="35" ht="14.25" customHeight="1">
      <c r="B35" s="26"/>
      <c r="C35" s="21" t="s">
        <v>75</v>
      </c>
      <c r="D35" s="27" t="s">
        <v>45</v>
      </c>
      <c r="E35" s="23">
        <v>46306.0</v>
      </c>
      <c r="F35" s="23">
        <v>46313.0</v>
      </c>
      <c r="G35" s="22" t="s">
        <v>17</v>
      </c>
      <c r="H35" s="24">
        <f t="shared" ref="H35:T35" si="26">IF(AND(ISNUMBER($E35),ISNUMBER($F35),$E35&lt;=$F35,$E35&lt;=MIN(DATE(2026,8,3)+H$7*7-1,DATE(2026,10,31)),$F35&gt;=DATE(2026,8,3)+(H$7-1)*7),1,0)</f>
        <v>0</v>
      </c>
      <c r="I35" s="24">
        <f t="shared" si="26"/>
        <v>0</v>
      </c>
      <c r="J35" s="24">
        <f t="shared" si="26"/>
        <v>0</v>
      </c>
      <c r="K35" s="24">
        <f t="shared" si="26"/>
        <v>0</v>
      </c>
      <c r="L35" s="24">
        <f t="shared" si="26"/>
        <v>0</v>
      </c>
      <c r="M35" s="24">
        <f t="shared" si="26"/>
        <v>0</v>
      </c>
      <c r="N35" s="24">
        <f t="shared" si="26"/>
        <v>0</v>
      </c>
      <c r="O35" s="24">
        <f t="shared" si="26"/>
        <v>0</v>
      </c>
      <c r="P35" s="24">
        <f t="shared" si="26"/>
        <v>0</v>
      </c>
      <c r="Q35" s="24">
        <f t="shared" si="26"/>
        <v>1</v>
      </c>
      <c r="R35" s="24">
        <f t="shared" si="26"/>
        <v>1</v>
      </c>
      <c r="S35" s="24">
        <f t="shared" si="26"/>
        <v>0</v>
      </c>
      <c r="T35" s="24">
        <f t="shared" si="26"/>
        <v>0</v>
      </c>
      <c r="U35" s="25" t="s">
        <v>76</v>
      </c>
    </row>
    <row r="36" ht="14.25" customHeight="1">
      <c r="B36" s="28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30"/>
    </row>
    <row r="37" ht="14.25" customHeight="1">
      <c r="B37" s="20" t="s">
        <v>77</v>
      </c>
      <c r="C37" s="21" t="s">
        <v>78</v>
      </c>
      <c r="D37" s="22" t="s">
        <v>23</v>
      </c>
      <c r="E37" s="23">
        <v>46309.0</v>
      </c>
      <c r="F37" s="23">
        <v>46315.0</v>
      </c>
      <c r="G37" s="22" t="s">
        <v>17</v>
      </c>
      <c r="H37" s="24">
        <f t="shared" ref="H37:T37" si="27">IF(AND(ISNUMBER($E37),ISNUMBER($F37),$E37&lt;=$F37,$E37&lt;=MIN(DATE(2026,8,3)+H$7*7-1,DATE(2026,10,31)),$F37&gt;=DATE(2026,8,3)+(H$7-1)*7),1,0)</f>
        <v>0</v>
      </c>
      <c r="I37" s="24">
        <f t="shared" si="27"/>
        <v>0</v>
      </c>
      <c r="J37" s="24">
        <f t="shared" si="27"/>
        <v>0</v>
      </c>
      <c r="K37" s="24">
        <f t="shared" si="27"/>
        <v>0</v>
      </c>
      <c r="L37" s="24">
        <f t="shared" si="27"/>
        <v>0</v>
      </c>
      <c r="M37" s="24">
        <f t="shared" si="27"/>
        <v>0</v>
      </c>
      <c r="N37" s="24">
        <f t="shared" si="27"/>
        <v>0</v>
      </c>
      <c r="O37" s="24">
        <f t="shared" si="27"/>
        <v>0</v>
      </c>
      <c r="P37" s="24">
        <f t="shared" si="27"/>
        <v>0</v>
      </c>
      <c r="Q37" s="24">
        <f t="shared" si="27"/>
        <v>0</v>
      </c>
      <c r="R37" s="24">
        <f t="shared" si="27"/>
        <v>1</v>
      </c>
      <c r="S37" s="24">
        <f t="shared" si="27"/>
        <v>1</v>
      </c>
      <c r="T37" s="24">
        <f t="shared" si="27"/>
        <v>0</v>
      </c>
      <c r="U37" s="25" t="s">
        <v>79</v>
      </c>
    </row>
    <row r="38" ht="14.25" customHeight="1">
      <c r="B38" s="26"/>
      <c r="C38" s="21" t="s">
        <v>80</v>
      </c>
      <c r="D38" s="22" t="s">
        <v>23</v>
      </c>
      <c r="E38" s="23">
        <v>46316.0</v>
      </c>
      <c r="F38" s="23">
        <v>46319.0</v>
      </c>
      <c r="G38" s="22" t="s">
        <v>17</v>
      </c>
      <c r="H38" s="24">
        <f t="shared" ref="H38:T38" si="28">IF(AND(ISNUMBER($E38),ISNUMBER($F38),$E38&lt;=$F38,$E38&lt;=MIN(DATE(2026,8,3)+H$7*7-1,DATE(2026,10,31)),$F38&gt;=DATE(2026,8,3)+(H$7-1)*7),1,0)</f>
        <v>0</v>
      </c>
      <c r="I38" s="24">
        <f t="shared" si="28"/>
        <v>0</v>
      </c>
      <c r="J38" s="24">
        <f t="shared" si="28"/>
        <v>0</v>
      </c>
      <c r="K38" s="24">
        <f t="shared" si="28"/>
        <v>0</v>
      </c>
      <c r="L38" s="24">
        <f t="shared" si="28"/>
        <v>0</v>
      </c>
      <c r="M38" s="24">
        <f t="shared" si="28"/>
        <v>0</v>
      </c>
      <c r="N38" s="24">
        <f t="shared" si="28"/>
        <v>0</v>
      </c>
      <c r="O38" s="24">
        <f t="shared" si="28"/>
        <v>0</v>
      </c>
      <c r="P38" s="24">
        <f t="shared" si="28"/>
        <v>0</v>
      </c>
      <c r="Q38" s="24">
        <f t="shared" si="28"/>
        <v>0</v>
      </c>
      <c r="R38" s="24">
        <f t="shared" si="28"/>
        <v>0</v>
      </c>
      <c r="S38" s="24">
        <f t="shared" si="28"/>
        <v>1</v>
      </c>
      <c r="T38" s="24">
        <f t="shared" si="28"/>
        <v>0</v>
      </c>
      <c r="U38" s="25" t="s">
        <v>81</v>
      </c>
    </row>
    <row r="39" ht="14.25" customHeight="1">
      <c r="B39" s="28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30"/>
    </row>
    <row r="40" ht="14.25" customHeight="1">
      <c r="B40" s="20" t="s">
        <v>82</v>
      </c>
      <c r="C40" s="21" t="s">
        <v>83</v>
      </c>
      <c r="D40" s="22" t="s">
        <v>23</v>
      </c>
      <c r="E40" s="23">
        <v>46296.0</v>
      </c>
      <c r="F40" s="23">
        <v>46300.0</v>
      </c>
      <c r="G40" s="22" t="s">
        <v>17</v>
      </c>
      <c r="H40" s="24">
        <f t="shared" ref="H40:T40" si="29">IF(AND(ISNUMBER($E40),ISNUMBER($F40),$E40&lt;=$F40,$E40&lt;=MIN(DATE(2026,8,3)+H$7*7-1,DATE(2026,10,31)),$F40&gt;=DATE(2026,8,3)+(H$7-1)*7),1,0)</f>
        <v>0</v>
      </c>
      <c r="I40" s="24">
        <f t="shared" si="29"/>
        <v>0</v>
      </c>
      <c r="J40" s="24">
        <f t="shared" si="29"/>
        <v>0</v>
      </c>
      <c r="K40" s="24">
        <f t="shared" si="29"/>
        <v>0</v>
      </c>
      <c r="L40" s="24">
        <f t="shared" si="29"/>
        <v>0</v>
      </c>
      <c r="M40" s="24">
        <f t="shared" si="29"/>
        <v>0</v>
      </c>
      <c r="N40" s="24">
        <f t="shared" si="29"/>
        <v>0</v>
      </c>
      <c r="O40" s="24">
        <f t="shared" si="29"/>
        <v>0</v>
      </c>
      <c r="P40" s="24">
        <f t="shared" si="29"/>
        <v>1</v>
      </c>
      <c r="Q40" s="24">
        <f t="shared" si="29"/>
        <v>1</v>
      </c>
      <c r="R40" s="24">
        <f t="shared" si="29"/>
        <v>0</v>
      </c>
      <c r="S40" s="24">
        <f t="shared" si="29"/>
        <v>0</v>
      </c>
      <c r="T40" s="24">
        <f t="shared" si="29"/>
        <v>0</v>
      </c>
      <c r="U40" s="25" t="s">
        <v>84</v>
      </c>
    </row>
    <row r="41" ht="14.25" customHeight="1">
      <c r="B41" s="26"/>
      <c r="C41" s="21" t="s">
        <v>85</v>
      </c>
      <c r="D41" s="22" t="s">
        <v>23</v>
      </c>
      <c r="E41" s="23">
        <v>46299.0</v>
      </c>
      <c r="F41" s="23">
        <v>46305.0</v>
      </c>
      <c r="G41" s="22" t="s">
        <v>17</v>
      </c>
      <c r="H41" s="24">
        <f t="shared" ref="H41:T41" si="30">IF(AND(ISNUMBER($E41),ISNUMBER($F41),$E41&lt;=$F41,$E41&lt;=MIN(DATE(2026,8,3)+H$7*7-1,DATE(2026,10,31)),$F41&gt;=DATE(2026,8,3)+(H$7-1)*7),1,0)</f>
        <v>0</v>
      </c>
      <c r="I41" s="24">
        <f t="shared" si="30"/>
        <v>0</v>
      </c>
      <c r="J41" s="24">
        <f t="shared" si="30"/>
        <v>0</v>
      </c>
      <c r="K41" s="24">
        <f t="shared" si="30"/>
        <v>0</v>
      </c>
      <c r="L41" s="24">
        <f t="shared" si="30"/>
        <v>0</v>
      </c>
      <c r="M41" s="24">
        <f t="shared" si="30"/>
        <v>0</v>
      </c>
      <c r="N41" s="24">
        <f t="shared" si="30"/>
        <v>0</v>
      </c>
      <c r="O41" s="24">
        <f t="shared" si="30"/>
        <v>0</v>
      </c>
      <c r="P41" s="24">
        <f t="shared" si="30"/>
        <v>1</v>
      </c>
      <c r="Q41" s="24">
        <f t="shared" si="30"/>
        <v>1</v>
      </c>
      <c r="R41" s="24">
        <f t="shared" si="30"/>
        <v>0</v>
      </c>
      <c r="S41" s="24">
        <f t="shared" si="30"/>
        <v>0</v>
      </c>
      <c r="T41" s="24">
        <f t="shared" si="30"/>
        <v>0</v>
      </c>
      <c r="U41" s="25" t="s">
        <v>86</v>
      </c>
    </row>
    <row r="42" ht="14.25" customHeight="1">
      <c r="B42" s="26"/>
      <c r="C42" s="21" t="s">
        <v>87</v>
      </c>
      <c r="D42" s="22" t="s">
        <v>23</v>
      </c>
      <c r="E42" s="23">
        <v>46304.0</v>
      </c>
      <c r="F42" s="23">
        <v>46309.0</v>
      </c>
      <c r="G42" s="22" t="s">
        <v>17</v>
      </c>
      <c r="H42" s="24">
        <f t="shared" ref="H42:T42" si="31">IF(AND(ISNUMBER($E42),ISNUMBER($F42),$E42&lt;=$F42,$E42&lt;=MIN(DATE(2026,8,3)+H$7*7-1,DATE(2026,10,31)),$F42&gt;=DATE(2026,8,3)+(H$7-1)*7),1,0)</f>
        <v>0</v>
      </c>
      <c r="I42" s="24">
        <f t="shared" si="31"/>
        <v>0</v>
      </c>
      <c r="J42" s="24">
        <f t="shared" si="31"/>
        <v>0</v>
      </c>
      <c r="K42" s="24">
        <f t="shared" si="31"/>
        <v>0</v>
      </c>
      <c r="L42" s="24">
        <f t="shared" si="31"/>
        <v>0</v>
      </c>
      <c r="M42" s="24">
        <f t="shared" si="31"/>
        <v>0</v>
      </c>
      <c r="N42" s="24">
        <f t="shared" si="31"/>
        <v>0</v>
      </c>
      <c r="O42" s="24">
        <f t="shared" si="31"/>
        <v>0</v>
      </c>
      <c r="P42" s="24">
        <f t="shared" si="31"/>
        <v>0</v>
      </c>
      <c r="Q42" s="24">
        <f t="shared" si="31"/>
        <v>1</v>
      </c>
      <c r="R42" s="24">
        <f t="shared" si="31"/>
        <v>1</v>
      </c>
      <c r="S42" s="24">
        <f t="shared" si="31"/>
        <v>0</v>
      </c>
      <c r="T42" s="24">
        <f t="shared" si="31"/>
        <v>0</v>
      </c>
      <c r="U42" s="25" t="s">
        <v>88</v>
      </c>
    </row>
    <row r="43" ht="14.25" customHeight="1">
      <c r="B43" s="26"/>
      <c r="C43" s="21" t="s">
        <v>89</v>
      </c>
      <c r="D43" s="27" t="s">
        <v>45</v>
      </c>
      <c r="E43" s="23">
        <v>46306.0</v>
      </c>
      <c r="F43" s="23">
        <v>46309.0</v>
      </c>
      <c r="G43" s="22" t="s">
        <v>17</v>
      </c>
      <c r="H43" s="24">
        <f t="shared" ref="H43:T43" si="32">IF(AND(ISNUMBER($E43),ISNUMBER($F43),$E43&lt;=$F43,$E43&lt;=MIN(DATE(2026,8,3)+H$7*7-1,DATE(2026,10,31)),$F43&gt;=DATE(2026,8,3)+(H$7-1)*7),1,0)</f>
        <v>0</v>
      </c>
      <c r="I43" s="24">
        <f t="shared" si="32"/>
        <v>0</v>
      </c>
      <c r="J43" s="24">
        <f t="shared" si="32"/>
        <v>0</v>
      </c>
      <c r="K43" s="24">
        <f t="shared" si="32"/>
        <v>0</v>
      </c>
      <c r="L43" s="24">
        <f t="shared" si="32"/>
        <v>0</v>
      </c>
      <c r="M43" s="24">
        <f t="shared" si="32"/>
        <v>0</v>
      </c>
      <c r="N43" s="24">
        <f t="shared" si="32"/>
        <v>0</v>
      </c>
      <c r="O43" s="24">
        <f t="shared" si="32"/>
        <v>0</v>
      </c>
      <c r="P43" s="24">
        <f t="shared" si="32"/>
        <v>0</v>
      </c>
      <c r="Q43" s="24">
        <f t="shared" si="32"/>
        <v>1</v>
      </c>
      <c r="R43" s="24">
        <f t="shared" si="32"/>
        <v>1</v>
      </c>
      <c r="S43" s="24">
        <f t="shared" si="32"/>
        <v>0</v>
      </c>
      <c r="T43" s="24">
        <f t="shared" si="32"/>
        <v>0</v>
      </c>
      <c r="U43" s="25" t="s">
        <v>90</v>
      </c>
    </row>
    <row r="44" ht="14.25" customHeight="1">
      <c r="B44" s="28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30"/>
    </row>
    <row r="45" ht="14.25" customHeight="1">
      <c r="B45" s="20" t="s">
        <v>91</v>
      </c>
      <c r="C45" s="21" t="s">
        <v>92</v>
      </c>
      <c r="D45" s="27" t="s">
        <v>93</v>
      </c>
      <c r="E45" s="23">
        <v>46320.0</v>
      </c>
      <c r="F45" s="23">
        <v>46323.0</v>
      </c>
      <c r="G45" s="22" t="s">
        <v>17</v>
      </c>
      <c r="H45" s="24">
        <f t="shared" ref="H45:T45" si="33">IF(AND(ISNUMBER($E45),ISNUMBER($F45),$E45&lt;=$F45,$E45&lt;=MIN(DATE(2026,8,3)+H$7*7-1,DATE(2026,10,31)),$F45&gt;=DATE(2026,8,3)+(H$7-1)*7),1,0)</f>
        <v>0</v>
      </c>
      <c r="I45" s="24">
        <f t="shared" si="33"/>
        <v>0</v>
      </c>
      <c r="J45" s="24">
        <f t="shared" si="33"/>
        <v>0</v>
      </c>
      <c r="K45" s="24">
        <f t="shared" si="33"/>
        <v>0</v>
      </c>
      <c r="L45" s="24">
        <f t="shared" si="33"/>
        <v>0</v>
      </c>
      <c r="M45" s="24">
        <f t="shared" si="33"/>
        <v>0</v>
      </c>
      <c r="N45" s="24">
        <f t="shared" si="33"/>
        <v>0</v>
      </c>
      <c r="O45" s="24">
        <f t="shared" si="33"/>
        <v>0</v>
      </c>
      <c r="P45" s="24">
        <f t="shared" si="33"/>
        <v>0</v>
      </c>
      <c r="Q45" s="24">
        <f t="shared" si="33"/>
        <v>0</v>
      </c>
      <c r="R45" s="24">
        <f t="shared" si="33"/>
        <v>0</v>
      </c>
      <c r="S45" s="24">
        <f t="shared" si="33"/>
        <v>1</v>
      </c>
      <c r="T45" s="24">
        <f t="shared" si="33"/>
        <v>1</v>
      </c>
      <c r="U45" s="25" t="s">
        <v>94</v>
      </c>
    </row>
    <row r="46" ht="14.25" customHeight="1">
      <c r="B46" s="26"/>
      <c r="C46" s="21" t="s">
        <v>95</v>
      </c>
      <c r="D46" s="22" t="s">
        <v>23</v>
      </c>
      <c r="E46" s="23">
        <v>46321.0</v>
      </c>
      <c r="F46" s="23">
        <v>46325.0</v>
      </c>
      <c r="G46" s="22" t="s">
        <v>17</v>
      </c>
      <c r="H46" s="24">
        <f t="shared" ref="H46:T46" si="34">IF(AND(ISNUMBER($E46),ISNUMBER($F46),$E46&lt;=$F46,$E46&lt;=MIN(DATE(2026,8,3)+H$7*7-1,DATE(2026,10,31)),$F46&gt;=DATE(2026,8,3)+(H$7-1)*7),1,0)</f>
        <v>0</v>
      </c>
      <c r="I46" s="24">
        <f t="shared" si="34"/>
        <v>0</v>
      </c>
      <c r="J46" s="24">
        <f t="shared" si="34"/>
        <v>0</v>
      </c>
      <c r="K46" s="24">
        <f t="shared" si="34"/>
        <v>0</v>
      </c>
      <c r="L46" s="24">
        <f t="shared" si="34"/>
        <v>0</v>
      </c>
      <c r="M46" s="24">
        <f t="shared" si="34"/>
        <v>0</v>
      </c>
      <c r="N46" s="24">
        <f t="shared" si="34"/>
        <v>0</v>
      </c>
      <c r="O46" s="24">
        <f t="shared" si="34"/>
        <v>0</v>
      </c>
      <c r="P46" s="24">
        <f t="shared" si="34"/>
        <v>0</v>
      </c>
      <c r="Q46" s="24">
        <f t="shared" si="34"/>
        <v>0</v>
      </c>
      <c r="R46" s="24">
        <f t="shared" si="34"/>
        <v>0</v>
      </c>
      <c r="S46" s="24">
        <f t="shared" si="34"/>
        <v>0</v>
      </c>
      <c r="T46" s="24">
        <f t="shared" si="34"/>
        <v>1</v>
      </c>
      <c r="U46" s="25" t="s">
        <v>96</v>
      </c>
    </row>
    <row r="47" ht="14.25" customHeight="1">
      <c r="B47" s="28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30"/>
    </row>
    <row r="48" ht="14.25" customHeight="1">
      <c r="B48" s="20" t="s">
        <v>97</v>
      </c>
      <c r="C48" s="21" t="s">
        <v>98</v>
      </c>
      <c r="D48" s="22" t="s">
        <v>20</v>
      </c>
      <c r="E48" s="23">
        <v>46260.0</v>
      </c>
      <c r="F48" s="23">
        <v>46326.0</v>
      </c>
      <c r="G48" s="22" t="s">
        <v>17</v>
      </c>
      <c r="H48" s="24">
        <f t="shared" ref="H48:T48" si="35">IF(AND(ISNUMBER($E48),ISNUMBER($F48),$E48&lt;=$F48,$E48&lt;=MIN(DATE(2026,8,3)+H$7*7-1,DATE(2026,10,31)),$F48&gt;=DATE(2026,8,3)+(H$7-1)*7),1,0)</f>
        <v>0</v>
      </c>
      <c r="I48" s="24">
        <f t="shared" si="35"/>
        <v>0</v>
      </c>
      <c r="J48" s="24">
        <f t="shared" si="35"/>
        <v>0</v>
      </c>
      <c r="K48" s="24">
        <f t="shared" si="35"/>
        <v>1</v>
      </c>
      <c r="L48" s="24">
        <f t="shared" si="35"/>
        <v>1</v>
      </c>
      <c r="M48" s="24">
        <f t="shared" si="35"/>
        <v>1</v>
      </c>
      <c r="N48" s="24">
        <f t="shared" si="35"/>
        <v>1</v>
      </c>
      <c r="O48" s="24">
        <f t="shared" si="35"/>
        <v>1</v>
      </c>
      <c r="P48" s="24">
        <f t="shared" si="35"/>
        <v>1</v>
      </c>
      <c r="Q48" s="24">
        <f t="shared" si="35"/>
        <v>1</v>
      </c>
      <c r="R48" s="24">
        <f t="shared" si="35"/>
        <v>1</v>
      </c>
      <c r="S48" s="24">
        <f t="shared" si="35"/>
        <v>1</v>
      </c>
      <c r="T48" s="24">
        <f t="shared" si="35"/>
        <v>1</v>
      </c>
      <c r="U48" s="25" t="s">
        <v>99</v>
      </c>
    </row>
    <row r="49" ht="14.25" customHeight="1">
      <c r="B49" s="26"/>
      <c r="C49" s="21" t="s">
        <v>100</v>
      </c>
      <c r="D49" s="27" t="s">
        <v>93</v>
      </c>
      <c r="E49" s="23">
        <v>46293.0</v>
      </c>
      <c r="F49" s="23">
        <v>46297.0</v>
      </c>
      <c r="G49" s="22" t="s">
        <v>17</v>
      </c>
      <c r="H49" s="24">
        <f t="shared" ref="H49:T49" si="36">IF(AND(ISNUMBER($E49),ISNUMBER($F49),$E49&lt;=$F49,$E49&lt;=MIN(DATE(2026,8,3)+H$7*7-1,DATE(2026,10,31)),$F49&gt;=DATE(2026,8,3)+(H$7-1)*7),1,0)</f>
        <v>0</v>
      </c>
      <c r="I49" s="24">
        <f t="shared" si="36"/>
        <v>0</v>
      </c>
      <c r="J49" s="24">
        <f t="shared" si="36"/>
        <v>0</v>
      </c>
      <c r="K49" s="24">
        <f t="shared" si="36"/>
        <v>0</v>
      </c>
      <c r="L49" s="24">
        <f t="shared" si="36"/>
        <v>0</v>
      </c>
      <c r="M49" s="24">
        <f t="shared" si="36"/>
        <v>0</v>
      </c>
      <c r="N49" s="24">
        <f t="shared" si="36"/>
        <v>0</v>
      </c>
      <c r="O49" s="24">
        <f t="shared" si="36"/>
        <v>0</v>
      </c>
      <c r="P49" s="24">
        <f t="shared" si="36"/>
        <v>1</v>
      </c>
      <c r="Q49" s="24">
        <f t="shared" si="36"/>
        <v>0</v>
      </c>
      <c r="R49" s="24">
        <f t="shared" si="36"/>
        <v>0</v>
      </c>
      <c r="S49" s="24">
        <f t="shared" si="36"/>
        <v>0</v>
      </c>
      <c r="T49" s="24">
        <f t="shared" si="36"/>
        <v>0</v>
      </c>
      <c r="U49" s="25" t="s">
        <v>101</v>
      </c>
    </row>
    <row r="50" ht="14.25" customHeight="1">
      <c r="B50" s="26"/>
      <c r="C50" s="21" t="s">
        <v>102</v>
      </c>
      <c r="D50" s="22" t="s">
        <v>20</v>
      </c>
      <c r="E50" s="23">
        <v>46313.0</v>
      </c>
      <c r="F50" s="23">
        <v>46319.0</v>
      </c>
      <c r="G50" s="22" t="s">
        <v>17</v>
      </c>
      <c r="H50" s="24">
        <f t="shared" ref="H50:T50" si="37">IF(AND(ISNUMBER($E50),ISNUMBER($F50),$E50&lt;=$F50,$E50&lt;=MIN(DATE(2026,8,3)+H$7*7-1,DATE(2026,10,31)),$F50&gt;=DATE(2026,8,3)+(H$7-1)*7),1,0)</f>
        <v>0</v>
      </c>
      <c r="I50" s="24">
        <f t="shared" si="37"/>
        <v>0</v>
      </c>
      <c r="J50" s="24">
        <f t="shared" si="37"/>
        <v>0</v>
      </c>
      <c r="K50" s="24">
        <f t="shared" si="37"/>
        <v>0</v>
      </c>
      <c r="L50" s="24">
        <f t="shared" si="37"/>
        <v>0</v>
      </c>
      <c r="M50" s="24">
        <f t="shared" si="37"/>
        <v>0</v>
      </c>
      <c r="N50" s="24">
        <f t="shared" si="37"/>
        <v>0</v>
      </c>
      <c r="O50" s="24">
        <f t="shared" si="37"/>
        <v>0</v>
      </c>
      <c r="P50" s="24">
        <f t="shared" si="37"/>
        <v>0</v>
      </c>
      <c r="Q50" s="24">
        <f t="shared" si="37"/>
        <v>0</v>
      </c>
      <c r="R50" s="24">
        <f t="shared" si="37"/>
        <v>1</v>
      </c>
      <c r="S50" s="24">
        <f t="shared" si="37"/>
        <v>1</v>
      </c>
      <c r="T50" s="24">
        <f t="shared" si="37"/>
        <v>0</v>
      </c>
      <c r="U50" s="25" t="s">
        <v>103</v>
      </c>
    </row>
    <row r="51" ht="14.25" customHeight="1">
      <c r="B51" s="26"/>
      <c r="C51" s="21" t="s">
        <v>104</v>
      </c>
      <c r="D51" s="27" t="s">
        <v>93</v>
      </c>
      <c r="E51" s="23">
        <v>46317.0</v>
      </c>
      <c r="F51" s="23">
        <v>46321.0</v>
      </c>
      <c r="G51" s="22" t="s">
        <v>17</v>
      </c>
      <c r="H51" s="24">
        <f t="shared" ref="H51:T51" si="38">IF(AND(ISNUMBER($E51),ISNUMBER($F51),$E51&lt;=$F51,$E51&lt;=MIN(DATE(2026,8,3)+H$7*7-1,DATE(2026,10,31)),$F51&gt;=DATE(2026,8,3)+(H$7-1)*7),1,0)</f>
        <v>0</v>
      </c>
      <c r="I51" s="24">
        <f t="shared" si="38"/>
        <v>0</v>
      </c>
      <c r="J51" s="24">
        <f t="shared" si="38"/>
        <v>0</v>
      </c>
      <c r="K51" s="24">
        <f t="shared" si="38"/>
        <v>0</v>
      </c>
      <c r="L51" s="24">
        <f t="shared" si="38"/>
        <v>0</v>
      </c>
      <c r="M51" s="24">
        <f t="shared" si="38"/>
        <v>0</v>
      </c>
      <c r="N51" s="24">
        <f t="shared" si="38"/>
        <v>0</v>
      </c>
      <c r="O51" s="24">
        <f t="shared" si="38"/>
        <v>0</v>
      </c>
      <c r="P51" s="24">
        <f t="shared" si="38"/>
        <v>0</v>
      </c>
      <c r="Q51" s="24">
        <f t="shared" si="38"/>
        <v>0</v>
      </c>
      <c r="R51" s="24">
        <f t="shared" si="38"/>
        <v>0</v>
      </c>
      <c r="S51" s="24">
        <f t="shared" si="38"/>
        <v>1</v>
      </c>
      <c r="T51" s="24">
        <f t="shared" si="38"/>
        <v>1</v>
      </c>
      <c r="U51" s="25" t="s">
        <v>105</v>
      </c>
    </row>
    <row r="52" ht="14.25" customHeight="1">
      <c r="B52" s="26"/>
      <c r="C52" s="21" t="s">
        <v>106</v>
      </c>
      <c r="D52" s="27" t="s">
        <v>93</v>
      </c>
      <c r="E52" s="23">
        <v>46318.0</v>
      </c>
      <c r="F52" s="23">
        <v>46321.0</v>
      </c>
      <c r="G52" s="22" t="s">
        <v>17</v>
      </c>
      <c r="H52" s="24">
        <f t="shared" ref="H52:T52" si="39">IF(AND(ISNUMBER($E52),ISNUMBER($F52),$E52&lt;=$F52,$E52&lt;=MIN(DATE(2026,8,3)+H$7*7-1,DATE(2026,10,31)),$F52&gt;=DATE(2026,8,3)+(H$7-1)*7),1,0)</f>
        <v>0</v>
      </c>
      <c r="I52" s="24">
        <f t="shared" si="39"/>
        <v>0</v>
      </c>
      <c r="J52" s="24">
        <f t="shared" si="39"/>
        <v>0</v>
      </c>
      <c r="K52" s="24">
        <f t="shared" si="39"/>
        <v>0</v>
      </c>
      <c r="L52" s="24">
        <f t="shared" si="39"/>
        <v>0</v>
      </c>
      <c r="M52" s="24">
        <f t="shared" si="39"/>
        <v>0</v>
      </c>
      <c r="N52" s="24">
        <f t="shared" si="39"/>
        <v>0</v>
      </c>
      <c r="O52" s="24">
        <f t="shared" si="39"/>
        <v>0</v>
      </c>
      <c r="P52" s="24">
        <f t="shared" si="39"/>
        <v>0</v>
      </c>
      <c r="Q52" s="24">
        <f t="shared" si="39"/>
        <v>0</v>
      </c>
      <c r="R52" s="24">
        <f t="shared" si="39"/>
        <v>0</v>
      </c>
      <c r="S52" s="24">
        <f t="shared" si="39"/>
        <v>1</v>
      </c>
      <c r="T52" s="24">
        <f t="shared" si="39"/>
        <v>1</v>
      </c>
      <c r="U52" s="25" t="s">
        <v>107</v>
      </c>
    </row>
    <row r="53" ht="14.25" customHeight="1">
      <c r="B53" s="28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30"/>
    </row>
    <row r="54" ht="14.25" customHeight="1">
      <c r="B54" s="20" t="s">
        <v>108</v>
      </c>
      <c r="C54" s="21" t="s">
        <v>109</v>
      </c>
      <c r="D54" s="22" t="s">
        <v>23</v>
      </c>
      <c r="E54" s="23">
        <v>46313.0</v>
      </c>
      <c r="F54" s="23">
        <v>46317.0</v>
      </c>
      <c r="G54" s="22" t="s">
        <v>17</v>
      </c>
      <c r="H54" s="24">
        <f t="shared" ref="H54:T54" si="40">IF(AND(ISNUMBER($E54),ISNUMBER($F54),$E54&lt;=$F54,$E54&lt;=MIN(DATE(2026,8,3)+H$7*7-1,DATE(2026,10,31)),$F54&gt;=DATE(2026,8,3)+(H$7-1)*7),1,0)</f>
        <v>0</v>
      </c>
      <c r="I54" s="24">
        <f t="shared" si="40"/>
        <v>0</v>
      </c>
      <c r="J54" s="24">
        <f t="shared" si="40"/>
        <v>0</v>
      </c>
      <c r="K54" s="24">
        <f t="shared" si="40"/>
        <v>0</v>
      </c>
      <c r="L54" s="24">
        <f t="shared" si="40"/>
        <v>0</v>
      </c>
      <c r="M54" s="24">
        <f t="shared" si="40"/>
        <v>0</v>
      </c>
      <c r="N54" s="24">
        <f t="shared" si="40"/>
        <v>0</v>
      </c>
      <c r="O54" s="24">
        <f t="shared" si="40"/>
        <v>0</v>
      </c>
      <c r="P54" s="24">
        <f t="shared" si="40"/>
        <v>0</v>
      </c>
      <c r="Q54" s="24">
        <f t="shared" si="40"/>
        <v>0</v>
      </c>
      <c r="R54" s="24">
        <f t="shared" si="40"/>
        <v>1</v>
      </c>
      <c r="S54" s="24">
        <f t="shared" si="40"/>
        <v>1</v>
      </c>
      <c r="T54" s="24">
        <f t="shared" si="40"/>
        <v>0</v>
      </c>
      <c r="U54" s="25" t="s">
        <v>110</v>
      </c>
    </row>
    <row r="55" ht="14.25" customHeight="1">
      <c r="B55" s="26"/>
      <c r="C55" s="21" t="s">
        <v>111</v>
      </c>
      <c r="D55" s="27" t="s">
        <v>45</v>
      </c>
      <c r="E55" s="23">
        <v>46320.0</v>
      </c>
      <c r="F55" s="23">
        <v>46323.0</v>
      </c>
      <c r="G55" s="22" t="s">
        <v>17</v>
      </c>
      <c r="H55" s="24">
        <f t="shared" ref="H55:T55" si="41">IF(AND(ISNUMBER($E55),ISNUMBER($F55),$E55&lt;=$F55,$E55&lt;=MIN(DATE(2026,8,3)+H$7*7-1,DATE(2026,10,31)),$F55&gt;=DATE(2026,8,3)+(H$7-1)*7),1,0)</f>
        <v>0</v>
      </c>
      <c r="I55" s="24">
        <f t="shared" si="41"/>
        <v>0</v>
      </c>
      <c r="J55" s="24">
        <f t="shared" si="41"/>
        <v>0</v>
      </c>
      <c r="K55" s="24">
        <f t="shared" si="41"/>
        <v>0</v>
      </c>
      <c r="L55" s="24">
        <f t="shared" si="41"/>
        <v>0</v>
      </c>
      <c r="M55" s="24">
        <f t="shared" si="41"/>
        <v>0</v>
      </c>
      <c r="N55" s="24">
        <f t="shared" si="41"/>
        <v>0</v>
      </c>
      <c r="O55" s="24">
        <f t="shared" si="41"/>
        <v>0</v>
      </c>
      <c r="P55" s="24">
        <f t="shared" si="41"/>
        <v>0</v>
      </c>
      <c r="Q55" s="24">
        <f t="shared" si="41"/>
        <v>0</v>
      </c>
      <c r="R55" s="24">
        <f t="shared" si="41"/>
        <v>0</v>
      </c>
      <c r="S55" s="24">
        <f t="shared" si="41"/>
        <v>1</v>
      </c>
      <c r="T55" s="24">
        <f t="shared" si="41"/>
        <v>1</v>
      </c>
      <c r="U55" s="25" t="s">
        <v>112</v>
      </c>
    </row>
    <row r="56" ht="14.25" customHeight="1">
      <c r="B56" s="26"/>
      <c r="C56" s="21" t="s">
        <v>113</v>
      </c>
      <c r="D56" s="22" t="s">
        <v>28</v>
      </c>
      <c r="E56" s="23">
        <v>46320.0</v>
      </c>
      <c r="F56" s="23">
        <v>46325.0</v>
      </c>
      <c r="G56" s="22" t="s">
        <v>17</v>
      </c>
      <c r="H56" s="24">
        <f t="shared" ref="H56:T56" si="42">IF(AND(ISNUMBER($E56),ISNUMBER($F56),$E56&lt;=$F56,$E56&lt;=MIN(DATE(2026,8,3)+H$7*7-1,DATE(2026,10,31)),$F56&gt;=DATE(2026,8,3)+(H$7-1)*7),1,0)</f>
        <v>0</v>
      </c>
      <c r="I56" s="24">
        <f t="shared" si="42"/>
        <v>0</v>
      </c>
      <c r="J56" s="24">
        <f t="shared" si="42"/>
        <v>0</v>
      </c>
      <c r="K56" s="24">
        <f t="shared" si="42"/>
        <v>0</v>
      </c>
      <c r="L56" s="24">
        <f t="shared" si="42"/>
        <v>0</v>
      </c>
      <c r="M56" s="24">
        <f t="shared" si="42"/>
        <v>0</v>
      </c>
      <c r="N56" s="24">
        <f t="shared" si="42"/>
        <v>0</v>
      </c>
      <c r="O56" s="24">
        <f t="shared" si="42"/>
        <v>0</v>
      </c>
      <c r="P56" s="24">
        <f t="shared" si="42"/>
        <v>0</v>
      </c>
      <c r="Q56" s="24">
        <f t="shared" si="42"/>
        <v>0</v>
      </c>
      <c r="R56" s="24">
        <f t="shared" si="42"/>
        <v>0</v>
      </c>
      <c r="S56" s="24">
        <f t="shared" si="42"/>
        <v>1</v>
      </c>
      <c r="T56" s="24">
        <f t="shared" si="42"/>
        <v>1</v>
      </c>
      <c r="U56" s="25" t="s">
        <v>114</v>
      </c>
    </row>
    <row r="57" ht="14.25" customHeight="1">
      <c r="B57" s="31"/>
      <c r="C57" s="32" t="s">
        <v>115</v>
      </c>
      <c r="D57" s="33" t="s">
        <v>20</v>
      </c>
      <c r="E57" s="34">
        <v>46324.0</v>
      </c>
      <c r="F57" s="34">
        <v>46326.0</v>
      </c>
      <c r="G57" s="33" t="s">
        <v>17</v>
      </c>
      <c r="H57" s="35">
        <f t="shared" ref="H57:T57" si="43">IF(AND(ISNUMBER($E57),ISNUMBER($F57),$E57&lt;=$F57,$E57&lt;=MIN(DATE(2026,8,3)+H$7*7-1,DATE(2026,10,31)),$F57&gt;=DATE(2026,8,3)+(H$7-1)*7),1,0)</f>
        <v>0</v>
      </c>
      <c r="I57" s="35">
        <f t="shared" si="43"/>
        <v>0</v>
      </c>
      <c r="J57" s="35">
        <f t="shared" si="43"/>
        <v>0</v>
      </c>
      <c r="K57" s="35">
        <f t="shared" si="43"/>
        <v>0</v>
      </c>
      <c r="L57" s="35">
        <f t="shared" si="43"/>
        <v>0</v>
      </c>
      <c r="M57" s="35">
        <f t="shared" si="43"/>
        <v>0</v>
      </c>
      <c r="N57" s="35">
        <f t="shared" si="43"/>
        <v>0</v>
      </c>
      <c r="O57" s="35">
        <f t="shared" si="43"/>
        <v>0</v>
      </c>
      <c r="P57" s="35">
        <f t="shared" si="43"/>
        <v>0</v>
      </c>
      <c r="Q57" s="35">
        <f t="shared" si="43"/>
        <v>0</v>
      </c>
      <c r="R57" s="35">
        <f t="shared" si="43"/>
        <v>0</v>
      </c>
      <c r="S57" s="35">
        <f t="shared" si="43"/>
        <v>0</v>
      </c>
      <c r="T57" s="35">
        <f t="shared" si="43"/>
        <v>1</v>
      </c>
      <c r="U57" s="36" t="s">
        <v>116</v>
      </c>
    </row>
    <row r="58" ht="14.25" customHeigh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14.25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14.25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14.25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33.75" customHeight="1">
      <c r="B62" s="37"/>
      <c r="C62" s="37"/>
      <c r="D62" s="37"/>
      <c r="E62" s="37"/>
      <c r="F62" s="37"/>
      <c r="G62" s="37"/>
      <c r="H62" s="37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3:T3"/>
    <mergeCell ref="C4:T4"/>
    <mergeCell ref="C5:T5"/>
  </mergeCells>
  <conditionalFormatting sqref="H8:T57">
    <cfRule type="cellIs" dxfId="0" priority="1" stopIfTrue="1" operator="greaterThan">
      <formula>0</formula>
    </cfRule>
  </conditionalFormatting>
  <dataValidations>
    <dataValidation type="list" allowBlank="1" showDropDown="1" sqref="G8:G21 G23:G32 G34:G35 G37:G38 G40:G43 G45:G46 G48:G52 G54:G57">
      <formula1>"For confirmation,Not started,In progress,Completed"</formula1>
    </dataValidation>
  </dataValidations>
  <printOptions/>
  <pageMargins bottom="0.75" footer="0.0" header="0.0" left="0.7" right="0.7" top="0.75"/>
  <pageSetup orientation="landscape"/>
  <drawing r:id="rId1"/>
</worksheet>
</file>